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720" tabRatio="600" firstSheet="0" autoFilterDateGrouping="1"/>
  </bookViews>
  <sheets>
    <sheet xmlns:r="http://schemas.openxmlformats.org/officeDocument/2006/relationships" name="FEB 26" sheetId="1" state="visible" r:id="rId1"/>
  </sheets>
  <definedNames>
    <definedName name="_xlnm.Print_Area" localSheetId="0">'FEB 26'!$A$1:$AA$67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[$-409]mmmm\-yy;@"/>
    <numFmt numFmtId="165" formatCode="0.000"/>
    <numFmt numFmtId="166" formatCode="0.0000"/>
    <numFmt numFmtId="167" formatCode="_-* #,##0.00_-;\-* #,##0.00_-;_-* &quot;-&quot;??_-;_-@_-"/>
  </numFmts>
  <fonts count="28">
    <font>
      <name val="Arial"/>
      <family val="2"/>
      <sz val="10"/>
    </font>
    <font>
      <name val="Arial"/>
      <family val="2"/>
      <sz val="10"/>
    </font>
    <font>
      <name val="Arial"/>
      <family val="2"/>
      <b val="1"/>
      <sz val="20"/>
    </font>
    <font>
      <name val="Arial"/>
      <family val="2"/>
      <sz val="12"/>
    </font>
    <font>
      <name val="Arial"/>
      <family val="2"/>
      <b val="1"/>
      <sz val="14"/>
    </font>
    <font>
      <name val="Arial"/>
      <family val="2"/>
      <sz val="11"/>
    </font>
    <font>
      <name val="Arial"/>
      <family val="2"/>
      <b val="1"/>
      <sz val="11"/>
    </font>
    <font>
      <name val="Arial"/>
      <family val="2"/>
      <b val="1"/>
      <sz val="12"/>
    </font>
    <font>
      <name val="Arial"/>
      <family val="2"/>
      <sz val="11"/>
      <u val="single"/>
    </font>
    <font>
      <name val="Arial"/>
      <family val="2"/>
      <b val="1"/>
      <i val="1"/>
      <sz val="11"/>
    </font>
    <font>
      <name val="Arial"/>
      <family val="2"/>
      <b val="1"/>
      <sz val="11"/>
      <u val="single"/>
    </font>
    <font>
      <name val="Arial"/>
      <family val="2"/>
      <b val="1"/>
      <sz val="9"/>
    </font>
    <font>
      <name val="Cordia New"/>
      <family val="2"/>
      <sz val="14"/>
    </font>
    <font>
      <name val="Arial"/>
      <family val="2"/>
      <b val="1"/>
      <sz val="10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Arial"/>
      <family val="2"/>
      <b val="1"/>
      <sz val="16"/>
    </font>
    <font>
      <name val="Arial"/>
      <family val="2"/>
      <sz val="16"/>
    </font>
    <font>
      <name val="Arial"/>
      <family val="2"/>
      <b val="1"/>
      <color rgb="FFFF0000"/>
      <sz val="16"/>
    </font>
    <font>
      <name val="Arial"/>
      <family val="2"/>
      <b val="1"/>
      <color rgb="FF002060"/>
      <sz val="24"/>
    </font>
    <font>
      <name val="Arial"/>
      <family val="2"/>
      <b val="1"/>
      <color theme="0"/>
      <sz val="16"/>
    </font>
    <font>
      <name val="Arial"/>
      <family val="2"/>
      <sz val="8"/>
    </font>
    <font>
      <name val="Arial"/>
      <family val="2"/>
      <b val="1"/>
      <i val="1"/>
      <color rgb="FF002060"/>
      <sz val="9"/>
    </font>
    <font>
      <name val="Arial"/>
      <family val="2"/>
      <b val="1"/>
      <color theme="0"/>
      <sz val="11"/>
    </font>
    <font>
      <name val="Arial"/>
      <family val="2"/>
      <b val="1"/>
      <color rgb="FF0070C0"/>
      <sz val="16"/>
    </font>
    <font>
      <name val="Arial"/>
      <family val="2"/>
      <b val="1"/>
      <color rgb="FFFF0000"/>
      <sz val="10"/>
    </font>
    <font>
      <name val="Arial"/>
      <family val="2"/>
      <b val="1"/>
      <sz val="8"/>
    </font>
    <font>
      <name val="Arial"/>
      <family val="2"/>
      <sz val="9"/>
    </font>
  </fonts>
  <fills count="7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3">
    <xf numFmtId="0" fontId="1" fillId="0" borderId="0"/>
    <xf numFmtId="43" fontId="1" fillId="0" borderId="0"/>
    <xf numFmtId="43" fontId="1" fillId="0" borderId="0"/>
  </cellStyleXfs>
  <cellXfs count="275">
    <xf numFmtId="0" fontId="0" fillId="0" borderId="0" pivotButton="0" quotePrefix="0" xfId="0"/>
    <xf numFmtId="0" fontId="5" fillId="2" borderId="1" applyAlignment="1" pivotButton="0" quotePrefix="0" xfId="0">
      <alignment horizontal="center" vertical="center"/>
    </xf>
    <xf numFmtId="3" fontId="6" fillId="0" borderId="0" applyAlignment="1" pivotButton="0" quotePrefix="0" xfId="0">
      <alignment horizontal="center" vertical="center"/>
    </xf>
    <xf numFmtId="4" fontId="7" fillId="3" borderId="1" applyAlignment="1" pivotButton="0" quotePrefix="0" xfId="0">
      <alignment horizontal="center" vertical="center"/>
    </xf>
    <xf numFmtId="1" fontId="5" fillId="3" borderId="1" applyAlignment="1" pivotButton="0" quotePrefix="0" xfId="0">
      <alignment horizontal="center" vertical="center"/>
    </xf>
    <xf numFmtId="1" fontId="5" fillId="3" borderId="1" applyAlignment="1" pivotButton="0" quotePrefix="0" xfId="0">
      <alignment horizontal="center" vertical="center" wrapText="1"/>
    </xf>
    <xf numFmtId="1" fontId="7" fillId="3" borderId="1" applyAlignment="1" pivotButton="0" quotePrefix="0" xfId="0">
      <alignment horizontal="center" vertical="center"/>
    </xf>
    <xf numFmtId="3" fontId="17" fillId="0" borderId="0" applyAlignment="1" pivotButton="0" quotePrefix="0" xfId="0">
      <alignment vertical="center"/>
    </xf>
    <xf numFmtId="3" fontId="16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left" vertical="center"/>
    </xf>
    <xf numFmtId="4" fontId="6" fillId="0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 wrapText="1"/>
    </xf>
    <xf numFmtId="0" fontId="6" fillId="4" borderId="2" applyAlignment="1" pivotButton="0" quotePrefix="0" xfId="0">
      <alignment vertical="center"/>
    </xf>
    <xf numFmtId="3" fontId="6" fillId="4" borderId="0" applyAlignment="1" pivotButton="0" quotePrefix="0" xfId="0">
      <alignment horizontal="center" vertical="center"/>
    </xf>
    <xf numFmtId="3" fontId="9" fillId="4" borderId="0" applyAlignment="1" pivotButton="0" quotePrefix="0" xfId="0">
      <alignment horizontal="center" vertical="center"/>
    </xf>
    <xf numFmtId="3" fontId="16" fillId="0" borderId="0" applyAlignment="1" pivotButton="0" quotePrefix="0" xfId="0">
      <alignment horizontal="right" vertical="center"/>
    </xf>
    <xf numFmtId="164" fontId="18" fillId="2" borderId="0" applyAlignment="1" pivotButton="0" quotePrefix="0" xfId="0">
      <alignment horizontal="left" vertical="center"/>
    </xf>
    <xf numFmtId="0" fontId="5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vertical="center"/>
    </xf>
    <xf numFmtId="4" fontId="4" fillId="4" borderId="8" applyAlignment="1" pivotButton="0" quotePrefix="0" xfId="0">
      <alignment horizontal="right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 wrapText="1"/>
    </xf>
    <xf numFmtId="0" fontId="12" fillId="0" borderId="0" pivotButton="0" quotePrefix="0" xfId="0"/>
    <xf numFmtId="0" fontId="0" fillId="0" borderId="5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3" fontId="7" fillId="0" borderId="6" applyAlignment="1" applyProtection="1" pivotButton="0" quotePrefix="0" xfId="0">
      <alignment horizontal="left" vertical="center"/>
      <protection locked="0" hidden="0"/>
    </xf>
    <xf numFmtId="0" fontId="5" fillId="0" borderId="7" applyAlignment="1" pivotButton="0" quotePrefix="0" xfId="0">
      <alignment vertical="center"/>
    </xf>
    <xf numFmtId="0" fontId="16" fillId="2" borderId="2" applyAlignment="1" pivotButton="0" quotePrefix="0" xfId="0">
      <alignment vertical="center"/>
    </xf>
    <xf numFmtId="0" fontId="16" fillId="2" borderId="0" applyAlignment="1" pivotButton="0" quotePrefix="0" xfId="0">
      <alignment vertical="center"/>
    </xf>
    <xf numFmtId="0" fontId="16" fillId="2" borderId="2" applyAlignment="1" pivotButton="0" quotePrefix="0" xfId="0">
      <alignment horizontal="left" vertical="center"/>
    </xf>
    <xf numFmtId="0" fontId="16" fillId="2" borderId="0" applyAlignment="1" pivotButton="0" quotePrefix="0" xfId="0">
      <alignment horizontal="left" vertical="center"/>
    </xf>
    <xf numFmtId="2" fontId="7" fillId="3" borderId="1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 wrapText="1"/>
    </xf>
    <xf numFmtId="0" fontId="5" fillId="0" borderId="6" applyAlignment="1" pivotButton="0" quotePrefix="0" xfId="0">
      <alignment vertical="center"/>
    </xf>
    <xf numFmtId="0" fontId="5" fillId="0" borderId="6" applyAlignment="1" pivotButton="0" quotePrefix="0" xfId="0">
      <alignment horizontal="center" vertical="center"/>
    </xf>
    <xf numFmtId="0" fontId="20" fillId="5" borderId="0" applyAlignment="1" pivotButton="0" quotePrefix="0" xfId="0">
      <alignment horizontal="left" vertical="center"/>
    </xf>
    <xf numFmtId="0" fontId="5" fillId="0" borderId="15" applyAlignment="1" pivotButton="0" quotePrefix="0" xfId="0">
      <alignment horizontal="center" vertical="center"/>
    </xf>
    <xf numFmtId="0" fontId="6" fillId="2" borderId="5" applyAlignment="1" pivotButton="0" quotePrefix="0" xfId="0">
      <alignment vertical="center"/>
    </xf>
    <xf numFmtId="3" fontId="6" fillId="0" borderId="6" applyAlignment="1" pivotButton="0" quotePrefix="0" xfId="0">
      <alignment horizontal="center" vertical="center"/>
    </xf>
    <xf numFmtId="4" fontId="6" fillId="0" borderId="6" applyAlignment="1" pivotButton="0" quotePrefix="0" xfId="0">
      <alignment horizontal="center" vertical="center"/>
    </xf>
    <xf numFmtId="0" fontId="5" fillId="0" borderId="6" applyAlignment="1" pivotButton="0" quotePrefix="1" xfId="0">
      <alignment horizontal="center" vertical="center"/>
    </xf>
    <xf numFmtId="0" fontId="24" fillId="2" borderId="0" applyAlignment="1" pivotButton="0" quotePrefix="0" xfId="0">
      <alignment horizontal="center" vertical="center"/>
    </xf>
    <xf numFmtId="43" fontId="5" fillId="0" borderId="15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6" fillId="2" borderId="13" applyAlignment="1" pivotButton="0" quotePrefix="0" xfId="0">
      <alignment vertical="center"/>
    </xf>
    <xf numFmtId="3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vertical="center"/>
    </xf>
    <xf numFmtId="4" fontId="6" fillId="0" borderId="15" applyAlignment="1" pivotButton="0" quotePrefix="0" xfId="0">
      <alignment horizontal="center" vertical="center"/>
    </xf>
    <xf numFmtId="4" fontId="5" fillId="0" borderId="15" applyAlignment="1" pivotButton="0" quotePrefix="0" xfId="0">
      <alignment horizontal="center" vertical="center"/>
    </xf>
    <xf numFmtId="0" fontId="5" fillId="0" borderId="15" applyAlignment="1" pivotButton="0" quotePrefix="0" xfId="0">
      <alignment vertical="center"/>
    </xf>
    <xf numFmtId="0" fontId="5" fillId="0" borderId="14" applyAlignment="1" pivotButton="0" quotePrefix="0" xfId="0">
      <alignment vertical="center"/>
    </xf>
    <xf numFmtId="0" fontId="16" fillId="0" borderId="0" applyAlignment="1" pivotButton="0" quotePrefix="0" xfId="0">
      <alignment horizontal="center" vertical="center"/>
    </xf>
    <xf numFmtId="4" fontId="5" fillId="0" borderId="0" applyAlignment="1" pivotButton="0" quotePrefix="0" xfId="0">
      <alignment horizontal="center" vertical="center"/>
    </xf>
    <xf numFmtId="4" fontId="5" fillId="0" borderId="6" applyAlignment="1" pivotButton="0" quotePrefix="0" xfId="0">
      <alignment horizontal="center" vertical="center"/>
    </xf>
    <xf numFmtId="3" fontId="0" fillId="0" borderId="0" applyAlignment="1" pivotButton="0" quotePrefix="0" xfId="0">
      <alignment horizontal="center" vertical="center"/>
    </xf>
    <xf numFmtId="4" fontId="0" fillId="0" borderId="0" applyAlignment="1" pivotButton="0" quotePrefix="0" xfId="0">
      <alignment horizontal="center" vertical="center"/>
    </xf>
    <xf numFmtId="0" fontId="5" fillId="2" borderId="13" applyAlignment="1" pivotButton="0" quotePrefix="0" xfId="0">
      <alignment vertical="center"/>
    </xf>
    <xf numFmtId="3" fontId="5" fillId="2" borderId="15" applyAlignment="1" pivotButton="0" quotePrefix="0" xfId="0">
      <alignment horizontal="center" vertical="center"/>
    </xf>
    <xf numFmtId="3" fontId="5" fillId="0" borderId="15" applyAlignment="1" pivotButton="0" quotePrefix="0" xfId="0">
      <alignment horizontal="center" vertical="center"/>
    </xf>
    <xf numFmtId="1" fontId="6" fillId="0" borderId="15" applyAlignment="1" pivotButton="0" quotePrefix="0" xfId="0">
      <alignment horizontal="center" vertical="center"/>
    </xf>
    <xf numFmtId="165" fontId="23" fillId="0" borderId="15" applyAlignment="1" pivotButton="0" quotePrefix="0" xfId="0">
      <alignment horizontal="center" vertical="center"/>
    </xf>
    <xf numFmtId="4" fontId="8" fillId="0" borderId="15" applyAlignment="1" pivotButton="0" quotePrefix="0" xfId="0">
      <alignment horizontal="center" vertical="center"/>
    </xf>
    <xf numFmtId="0" fontId="6" fillId="0" borderId="2" applyAlignment="1" pivotButton="0" quotePrefix="0" xfId="0">
      <alignment vertical="center"/>
    </xf>
    <xf numFmtId="3" fontId="9" fillId="0" borderId="0" applyAlignment="1" pivotButton="0" quotePrefix="0" xfId="0">
      <alignment horizontal="center" vertical="center"/>
    </xf>
    <xf numFmtId="0" fontId="10" fillId="0" borderId="2" applyAlignment="1" pivotButton="0" quotePrefix="0" xfId="0">
      <alignment vertical="center"/>
    </xf>
    <xf numFmtId="0" fontId="9" fillId="0" borderId="0" applyAlignment="1" pivotButton="0" quotePrefix="0" xfId="0">
      <alignment horizontal="center" vertical="center"/>
    </xf>
    <xf numFmtId="0" fontId="6" fillId="0" borderId="2" applyAlignment="1" pivotButton="0" quotePrefix="1" xfId="0">
      <alignment vertical="center"/>
    </xf>
    <xf numFmtId="3" fontId="9" fillId="0" borderId="0" applyAlignment="1" pivotButton="0" quotePrefix="1" xfId="0">
      <alignment horizontal="center" vertical="center"/>
    </xf>
    <xf numFmtId="4" fontId="9" fillId="3" borderId="0" applyAlignment="1" pivotButton="0" quotePrefix="1" xfId="0">
      <alignment horizontal="right" vertical="center"/>
    </xf>
    <xf numFmtId="4" fontId="9" fillId="3" borderId="0" applyAlignment="1" pivotButton="0" quotePrefix="0" xfId="0">
      <alignment horizontal="right" vertical="center"/>
    </xf>
    <xf numFmtId="0" fontId="9" fillId="0" borderId="2" applyAlignment="1" pivotButton="0" quotePrefix="0" xfId="0">
      <alignment vertical="center"/>
    </xf>
    <xf numFmtId="0" fontId="6" fillId="0" borderId="0" applyAlignment="1" pivotButton="0" quotePrefix="0" xfId="0">
      <alignment horizontal="left" vertical="center"/>
    </xf>
    <xf numFmtId="0" fontId="6" fillId="0" borderId="3" applyAlignment="1" pivotButton="0" quotePrefix="0" xfId="0">
      <alignment horizontal="left" vertical="center"/>
    </xf>
    <xf numFmtId="0" fontId="0" fillId="0" borderId="3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0" fontId="24" fillId="2" borderId="3" applyAlignment="1" pivotButton="0" quotePrefix="0" xfId="0">
      <alignment horizontal="center" vertical="center"/>
    </xf>
    <xf numFmtId="3" fontId="16" fillId="0" borderId="0" applyAlignment="1" pivotButton="0" quotePrefix="0" xfId="0">
      <alignment horizontal="left" vertical="center"/>
    </xf>
    <xf numFmtId="0" fontId="16" fillId="2" borderId="0" applyAlignment="1" pivotButton="0" quotePrefix="0" xfId="0">
      <alignment horizontal="right" vertical="center"/>
    </xf>
    <xf numFmtId="164" fontId="16" fillId="2" borderId="0" applyAlignment="1" pivotButton="0" quotePrefix="1" xfId="0">
      <alignment horizontal="center" vertical="center"/>
    </xf>
    <xf numFmtId="0" fontId="16" fillId="0" borderId="3" applyAlignment="1" pivotButton="0" quotePrefix="0" xfId="0">
      <alignment horizontal="center" vertical="center"/>
    </xf>
    <xf numFmtId="0" fontId="16" fillId="0" borderId="3" applyAlignment="1" pivotButton="0" quotePrefix="0" xfId="0">
      <alignment horizontal="left" vertical="center"/>
    </xf>
    <xf numFmtId="3" fontId="6" fillId="3" borderId="1" applyAlignment="1" pivotButton="0" quotePrefix="0" xfId="0">
      <alignment horizontal="center" vertical="center" wrapText="1"/>
    </xf>
    <xf numFmtId="4" fontId="6" fillId="3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16" fillId="3" borderId="1" applyAlignment="1" pivotButton="0" quotePrefix="0" xfId="0">
      <alignment horizontal="center" vertical="center"/>
    </xf>
    <xf numFmtId="2" fontId="9" fillId="0" borderId="2" applyAlignment="1" pivotButton="0" quotePrefix="1" xfId="0">
      <alignment vertical="center"/>
    </xf>
    <xf numFmtId="2" fontId="9" fillId="0" borderId="0" applyAlignment="1" pivotButton="0" quotePrefix="1" xfId="0">
      <alignment vertical="center"/>
    </xf>
    <xf numFmtId="2" fontId="9" fillId="0" borderId="3" applyAlignment="1" pivotButton="0" quotePrefix="1" xfId="0">
      <alignment vertical="center"/>
    </xf>
    <xf numFmtId="166" fontId="4" fillId="2" borderId="0" applyAlignment="1" pivotButton="0" quotePrefix="0" xfId="0">
      <alignment vertical="center"/>
    </xf>
    <xf numFmtId="2" fontId="3" fillId="0" borderId="0" applyAlignment="1" pivotButton="0" quotePrefix="1" xfId="0">
      <alignment vertical="center"/>
    </xf>
    <xf numFmtId="2" fontId="6" fillId="0" borderId="0" applyAlignment="1" applyProtection="1" pivotButton="0" quotePrefix="1" xfId="0">
      <alignment vertical="center"/>
      <protection locked="0" hidden="0"/>
    </xf>
    <xf numFmtId="166" fontId="9" fillId="3" borderId="1" applyAlignment="1" pivotButton="0" quotePrefix="0" xfId="0">
      <alignment horizontal="right" vertical="center"/>
    </xf>
    <xf numFmtId="2" fontId="3" fillId="0" borderId="3" applyAlignment="1" pivotButton="0" quotePrefix="1" xfId="0">
      <alignment vertical="center"/>
    </xf>
    <xf numFmtId="2" fontId="3" fillId="0" borderId="2" applyAlignment="1" pivotButton="0" quotePrefix="1" xfId="0">
      <alignment vertical="center"/>
    </xf>
    <xf numFmtId="0" fontId="0" fillId="2" borderId="4" applyAlignment="1" pivotButton="0" quotePrefix="0" xfId="0">
      <alignment vertical="center"/>
    </xf>
    <xf numFmtId="3" fontId="0" fillId="0" borderId="8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0" fontId="0" fillId="0" borderId="8" applyAlignment="1" pivotButton="0" quotePrefix="0" xfId="0">
      <alignment vertical="center"/>
    </xf>
    <xf numFmtId="4" fontId="0" fillId="0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2" fontId="0" fillId="0" borderId="0" applyAlignment="1" pivotButton="0" quotePrefix="0" xfId="0">
      <alignment vertical="center" wrapText="1"/>
    </xf>
    <xf numFmtId="0" fontId="16" fillId="4" borderId="1" applyAlignment="1" applyProtection="1" pivotButton="0" quotePrefix="0" xfId="0">
      <alignment horizontal="center" vertical="center"/>
      <protection locked="0" hidden="0"/>
    </xf>
    <xf numFmtId="0" fontId="16" fillId="4" borderId="10" applyAlignment="1" applyProtection="1" pivotButton="0" quotePrefix="0" xfId="0">
      <alignment horizontal="center" vertical="center"/>
      <protection locked="0" hidden="0"/>
    </xf>
    <xf numFmtId="166" fontId="25" fillId="2" borderId="0" applyAlignment="1" pivotButton="0" quotePrefix="0" xfId="0">
      <alignment vertical="center"/>
    </xf>
    <xf numFmtId="0" fontId="3" fillId="0" borderId="2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/>
    </xf>
    <xf numFmtId="2" fontId="3" fillId="0" borderId="2" applyAlignment="1" pivotButton="0" quotePrefix="1" xfId="0">
      <alignment horizontal="center" vertical="center"/>
    </xf>
    <xf numFmtId="2" fontId="3" fillId="0" borderId="0" applyAlignment="1" pivotButton="0" quotePrefix="1" xfId="0">
      <alignment horizontal="center" vertical="center"/>
    </xf>
    <xf numFmtId="2" fontId="3" fillId="0" borderId="3" applyAlignment="1" pivotButton="0" quotePrefix="1" xfId="0">
      <alignment horizontal="center" vertical="center"/>
    </xf>
    <xf numFmtId="0" fontId="27" fillId="0" borderId="0" applyAlignment="1" pivotButton="0" quotePrefix="0" xfId="0">
      <alignment vertical="center" wrapText="1"/>
    </xf>
    <xf numFmtId="0" fontId="27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7" fontId="27" fillId="0" borderId="0" applyAlignment="1" pivotButton="0" quotePrefix="0" xfId="1">
      <alignment vertical="center"/>
    </xf>
    <xf numFmtId="4" fontId="3" fillId="0" borderId="1" applyAlignment="1" applyProtection="1" pivotButton="0" quotePrefix="0" xfId="0">
      <alignment horizontal="center" vertical="center"/>
      <protection locked="0" hidden="0"/>
    </xf>
    <xf numFmtId="1" fontId="3" fillId="0" borderId="1" applyAlignment="1" applyProtection="1" pivotButton="0" quotePrefix="0" xfId="0">
      <alignment horizontal="center" vertical="center"/>
      <protection locked="0" hidden="0"/>
    </xf>
    <xf numFmtId="1" fontId="3" fillId="2" borderId="1" applyAlignment="1" applyProtection="1" pivotButton="0" quotePrefix="0" xfId="0">
      <alignment horizontal="center" vertical="center"/>
      <protection locked="0" hidden="0"/>
    </xf>
    <xf numFmtId="0" fontId="22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5" fillId="0" borderId="6" applyAlignment="1" pivotButton="0" quotePrefix="0" xfId="0">
      <alignment vertical="center"/>
    </xf>
    <xf numFmtId="0" fontId="5" fillId="0" borderId="6" applyAlignment="1" pivotButton="0" quotePrefix="0" xfId="0">
      <alignment horizontal="center" vertical="center"/>
    </xf>
    <xf numFmtId="2" fontId="3" fillId="0" borderId="2" applyAlignment="1" pivotButton="0" quotePrefix="1" xfId="0">
      <alignment horizontal="center" vertical="center"/>
    </xf>
    <xf numFmtId="2" fontId="3" fillId="0" borderId="0" applyAlignment="1" pivotButton="0" quotePrefix="1" xfId="0">
      <alignment horizontal="center" vertical="center"/>
    </xf>
    <xf numFmtId="2" fontId="3" fillId="0" borderId="3" applyAlignment="1" pivotButton="0" quotePrefix="1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/>
    </xf>
    <xf numFmtId="2" fontId="6" fillId="0" borderId="13" applyAlignment="1" applyProtection="1" pivotButton="0" quotePrefix="1" xfId="0">
      <alignment vertical="center"/>
      <protection locked="0" hidden="0"/>
    </xf>
    <xf numFmtId="2" fontId="6" fillId="0" borderId="15" applyAlignment="1" applyProtection="1" pivotButton="0" quotePrefix="1" xfId="0">
      <alignment vertical="center"/>
      <protection locked="0" hidden="0"/>
    </xf>
    <xf numFmtId="2" fontId="6" fillId="0" borderId="14" applyAlignment="1" applyProtection="1" pivotButton="0" quotePrefix="1" xfId="0">
      <alignment vertical="center"/>
      <protection locked="0" hidden="0"/>
    </xf>
    <xf numFmtId="0" fontId="6" fillId="0" borderId="13" applyAlignment="1" applyProtection="1" pivotButton="0" quotePrefix="1" xfId="0">
      <alignment vertical="center"/>
      <protection locked="0" hidden="0"/>
    </xf>
    <xf numFmtId="0" fontId="6" fillId="0" borderId="15" applyAlignment="1" applyProtection="1" pivotButton="0" quotePrefix="1" xfId="0">
      <alignment vertical="center"/>
      <protection locked="0" hidden="0"/>
    </xf>
    <xf numFmtId="0" fontId="6" fillId="0" borderId="14" applyAlignment="1" applyProtection="1" pivotButton="0" quotePrefix="1" xfId="0">
      <alignment vertical="center"/>
      <protection locked="0" hidden="0"/>
    </xf>
    <xf numFmtId="2" fontId="6" fillId="0" borderId="5" applyAlignment="1" applyProtection="1" pivotButton="0" quotePrefix="1" xfId="0">
      <alignment vertical="center"/>
      <protection locked="0" hidden="0"/>
    </xf>
    <xf numFmtId="2" fontId="6" fillId="0" borderId="6" applyAlignment="1" applyProtection="1" pivotButton="0" quotePrefix="1" xfId="0">
      <alignment vertical="center"/>
      <protection locked="0" hidden="0"/>
    </xf>
    <xf numFmtId="2" fontId="6" fillId="0" borderId="7" applyAlignment="1" applyProtection="1" pivotButton="0" quotePrefix="1" xfId="0">
      <alignment vertical="center"/>
      <protection locked="0" hidden="0"/>
    </xf>
    <xf numFmtId="0" fontId="6" fillId="0" borderId="5" applyAlignment="1" applyProtection="1" pivotButton="0" quotePrefix="1" xfId="0">
      <alignment vertical="center"/>
      <protection locked="0" hidden="0"/>
    </xf>
    <xf numFmtId="0" fontId="6" fillId="0" borderId="6" applyAlignment="1" applyProtection="1" pivotButton="0" quotePrefix="1" xfId="0">
      <alignment vertical="center"/>
      <protection locked="0" hidden="0"/>
    </xf>
    <xf numFmtId="0" fontId="6" fillId="0" borderId="7" applyAlignment="1" applyProtection="1" pivotButton="0" quotePrefix="1" xfId="0">
      <alignment vertical="center"/>
      <protection locked="0" hidden="0"/>
    </xf>
    <xf numFmtId="4" fontId="3" fillId="0" borderId="1" applyAlignment="1" applyProtection="1" pivotButton="0" quotePrefix="0" xfId="0">
      <alignment horizontal="center" vertical="center"/>
      <protection locked="0" hidden="0"/>
    </xf>
    <xf numFmtId="0" fontId="5" fillId="0" borderId="1" applyAlignment="1" applyProtection="1" pivotButton="0" quotePrefix="0" xfId="0">
      <alignment vertical="center" wrapText="1"/>
      <protection locked="0" hidden="0"/>
    </xf>
    <xf numFmtId="0" fontId="7" fillId="3" borderId="4" applyAlignment="1" pivotButton="0" quotePrefix="0" xfId="0">
      <alignment horizontal="center" vertical="center"/>
    </xf>
    <xf numFmtId="0" fontId="7" fillId="3" borderId="8" applyAlignment="1" pivotButton="0" quotePrefix="0" xfId="0">
      <alignment horizontal="center" vertical="center"/>
    </xf>
    <xf numFmtId="0" fontId="7" fillId="3" borderId="9" applyAlignment="1" pivotButton="0" quotePrefix="0" xfId="0">
      <alignment horizontal="center" vertical="center"/>
    </xf>
    <xf numFmtId="2" fontId="7" fillId="3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 wrapText="1"/>
    </xf>
    <xf numFmtId="166" fontId="4" fillId="6" borderId="13" applyAlignment="1" pivotButton="0" quotePrefix="0" xfId="0">
      <alignment horizontal="center" vertical="center"/>
    </xf>
    <xf numFmtId="166" fontId="4" fillId="6" borderId="15" applyAlignment="1" pivotButton="0" quotePrefix="0" xfId="0">
      <alignment horizontal="center" vertical="center"/>
    </xf>
    <xf numFmtId="166" fontId="4" fillId="6" borderId="14" applyAlignment="1" pivotButton="0" quotePrefix="0" xfId="0">
      <alignment horizontal="center" vertical="center"/>
    </xf>
    <xf numFmtId="166" fontId="4" fillId="6" borderId="2" applyAlignment="1" pivotButton="0" quotePrefix="0" xfId="0">
      <alignment horizontal="center" vertical="center"/>
    </xf>
    <xf numFmtId="166" fontId="4" fillId="6" borderId="0" applyAlignment="1" pivotButton="0" quotePrefix="0" xfId="0">
      <alignment horizontal="center" vertical="center"/>
    </xf>
    <xf numFmtId="166" fontId="4" fillId="6" borderId="3" applyAlignment="1" pivotButton="0" quotePrefix="0" xfId="0">
      <alignment horizontal="center" vertical="center"/>
    </xf>
    <xf numFmtId="166" fontId="4" fillId="6" borderId="5" applyAlignment="1" pivotButton="0" quotePrefix="0" xfId="0">
      <alignment horizontal="center" vertical="center"/>
    </xf>
    <xf numFmtId="166" fontId="4" fillId="6" borderId="6" applyAlignment="1" pivotButton="0" quotePrefix="0" xfId="0">
      <alignment horizontal="center" vertical="center"/>
    </xf>
    <xf numFmtId="166" fontId="4" fillId="6" borderId="7" applyAlignment="1" pivotButton="0" quotePrefix="0" xfId="0">
      <alignment horizontal="center" vertical="center"/>
    </xf>
    <xf numFmtId="0" fontId="4" fillId="6" borderId="13" applyAlignment="1" pivotButton="0" quotePrefix="0" xfId="0">
      <alignment horizontal="center" vertical="center" wrapText="1"/>
    </xf>
    <xf numFmtId="0" fontId="4" fillId="6" borderId="15" applyAlignment="1" pivotButton="0" quotePrefix="0" xfId="0">
      <alignment horizontal="center" vertical="center" wrapText="1"/>
    </xf>
    <xf numFmtId="0" fontId="4" fillId="6" borderId="14" applyAlignment="1" pivotButton="0" quotePrefix="0" xfId="0">
      <alignment horizontal="center" vertical="center" wrapText="1"/>
    </xf>
    <xf numFmtId="0" fontId="4" fillId="6" borderId="2" applyAlignment="1" pivotButton="0" quotePrefix="0" xfId="0">
      <alignment horizontal="center" vertical="center" wrapText="1"/>
    </xf>
    <xf numFmtId="0" fontId="4" fillId="6" borderId="0" applyAlignment="1" pivotButton="0" quotePrefix="0" xfId="0">
      <alignment horizontal="center" vertical="center" wrapText="1"/>
    </xf>
    <xf numFmtId="0" fontId="4" fillId="6" borderId="3" applyAlignment="1" pivotButton="0" quotePrefix="0" xfId="0">
      <alignment horizontal="center" vertical="center" wrapText="1"/>
    </xf>
    <xf numFmtId="0" fontId="4" fillId="6" borderId="5" applyAlignment="1" pivotButton="0" quotePrefix="0" xfId="0">
      <alignment horizontal="center" vertical="center" wrapText="1"/>
    </xf>
    <xf numFmtId="0" fontId="4" fillId="6" borderId="6" applyAlignment="1" pivotButton="0" quotePrefix="0" xfId="0">
      <alignment horizontal="center" vertical="center" wrapText="1"/>
    </xf>
    <xf numFmtId="0" fontId="4" fillId="6" borderId="7" applyAlignment="1" pivotButton="0" quotePrefix="0" xfId="0">
      <alignment horizontal="center" vertical="center" wrapText="1"/>
    </xf>
    <xf numFmtId="0" fontId="13" fillId="3" borderId="10" applyAlignment="1" pivotButton="0" quotePrefix="0" xfId="0">
      <alignment horizontal="center" vertical="center" wrapText="1"/>
    </xf>
    <xf numFmtId="0" fontId="13" fillId="3" borderId="11" applyAlignment="1" pivotButton="0" quotePrefix="0" xfId="0">
      <alignment horizontal="center" vertical="center" wrapText="1"/>
    </xf>
    <xf numFmtId="0" fontId="13" fillId="3" borderId="13" applyAlignment="1" pivotButton="0" quotePrefix="0" xfId="0">
      <alignment horizontal="center" vertical="center" wrapText="1"/>
    </xf>
    <xf numFmtId="0" fontId="13" fillId="3" borderId="5" applyAlignment="1" pivotButton="0" quotePrefix="0" xfId="0">
      <alignment horizontal="center" vertical="center" wrapText="1"/>
    </xf>
    <xf numFmtId="0" fontId="11" fillId="3" borderId="1" applyAlignment="1" pivotButton="0" quotePrefix="0" xfId="0">
      <alignment horizontal="center" vertical="center" wrapText="1"/>
    </xf>
    <xf numFmtId="0" fontId="26" fillId="3" borderId="10" applyAlignment="1" pivotButton="0" quotePrefix="0" xfId="0">
      <alignment horizontal="center" vertical="center" wrapText="1"/>
    </xf>
    <xf numFmtId="0" fontId="26" fillId="3" borderId="1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4" fontId="16" fillId="4" borderId="19" applyAlignment="1" applyProtection="1" pivotButton="0" quotePrefix="0" xfId="0">
      <alignment horizontal="center" vertical="center"/>
      <protection locked="0" hidden="0"/>
    </xf>
    <xf numFmtId="4" fontId="16" fillId="4" borderId="20" applyAlignment="1" applyProtection="1" pivotButton="0" quotePrefix="0" xfId="0">
      <alignment horizontal="center" vertical="center"/>
      <protection locked="0" hidden="0"/>
    </xf>
    <xf numFmtId="4" fontId="16" fillId="4" borderId="21" applyAlignment="1" applyProtection="1" pivotButton="0" quotePrefix="0" xfId="0">
      <alignment horizontal="center" vertical="center"/>
      <protection locked="0" hidden="0"/>
    </xf>
    <xf numFmtId="0" fontId="20" fillId="5" borderId="4" applyAlignment="1" pivotButton="0" quotePrefix="0" xfId="0">
      <alignment horizontal="left" vertical="center"/>
    </xf>
    <xf numFmtId="0" fontId="20" fillId="5" borderId="8" applyAlignment="1" pivotButton="0" quotePrefix="0" xfId="0">
      <alignment horizontal="left" vertical="center"/>
    </xf>
    <xf numFmtId="0" fontId="20" fillId="5" borderId="9" applyAlignment="1" pivotButton="0" quotePrefix="0" xfId="0">
      <alignment horizontal="left" vertical="center"/>
    </xf>
    <xf numFmtId="0" fontId="0" fillId="0" borderId="8" applyAlignment="1" pivotButton="0" quotePrefix="0" xfId="0">
      <alignment horizontal="center" vertical="center"/>
    </xf>
    <xf numFmtId="3" fontId="6" fillId="3" borderId="13" applyAlignment="1" pivotButton="0" quotePrefix="0" xfId="0">
      <alignment horizontal="center" vertical="center" wrapText="1"/>
    </xf>
    <xf numFmtId="3" fontId="6" fillId="3" borderId="14" applyAlignment="1" pivotButton="0" quotePrefix="0" xfId="0">
      <alignment horizontal="center" vertical="center" wrapText="1"/>
    </xf>
    <xf numFmtId="3" fontId="6" fillId="3" borderId="5" applyAlignment="1" pivotButton="0" quotePrefix="0" xfId="0">
      <alignment horizontal="center" vertical="center" wrapText="1"/>
    </xf>
    <xf numFmtId="3" fontId="6" fillId="3" borderId="7" applyAlignment="1" pivotButton="0" quotePrefix="0" xfId="0">
      <alignment horizontal="center" vertical="center" wrapText="1"/>
    </xf>
    <xf numFmtId="0" fontId="6" fillId="3" borderId="10" applyAlignment="1" pivotButton="0" quotePrefix="0" xfId="0">
      <alignment horizontal="center" vertical="center" wrapText="1"/>
    </xf>
    <xf numFmtId="0" fontId="6" fillId="3" borderId="12" applyAlignment="1" pivotButton="0" quotePrefix="0" xfId="0">
      <alignment horizontal="center" vertical="center" wrapText="1"/>
    </xf>
    <xf numFmtId="0" fontId="6" fillId="3" borderId="11" applyAlignment="1" pivotButton="0" quotePrefix="0" xfId="0">
      <alignment horizontal="center" vertical="center" wrapText="1"/>
    </xf>
    <xf numFmtId="4" fontId="6" fillId="3" borderId="10" applyAlignment="1" pivotButton="0" quotePrefix="0" xfId="0">
      <alignment horizontal="center" vertical="center" wrapText="1"/>
    </xf>
    <xf numFmtId="4" fontId="6" fillId="3" borderId="11" applyAlignment="1" pivotButton="0" quotePrefix="0" xfId="0">
      <alignment horizontal="center" vertical="center" wrapText="1"/>
    </xf>
    <xf numFmtId="4" fontId="13" fillId="3" borderId="10" applyAlignment="1" pivotButton="0" quotePrefix="0" xfId="0">
      <alignment horizontal="center" vertical="center" wrapText="1"/>
    </xf>
    <xf numFmtId="4" fontId="13" fillId="3" borderId="11" applyAlignment="1" pivotButton="0" quotePrefix="0" xfId="0">
      <alignment horizontal="center" vertical="center" wrapText="1"/>
    </xf>
    <xf numFmtId="0" fontId="16" fillId="2" borderId="2" applyAlignment="1" pivotButton="0" quotePrefix="0" xfId="0">
      <alignment horizontal="left" vertical="center"/>
    </xf>
    <xf numFmtId="0" fontId="16" fillId="2" borderId="0" applyAlignment="1" pivotButton="0" quotePrefix="0" xfId="0">
      <alignment horizontal="left" vertical="center"/>
    </xf>
    <xf numFmtId="3" fontId="16" fillId="0" borderId="8" applyAlignment="1" applyProtection="1" pivotButton="0" quotePrefix="0" xfId="0">
      <alignment horizontal="left" vertical="center"/>
      <protection locked="0" hidden="0"/>
    </xf>
    <xf numFmtId="3" fontId="16" fillId="0" borderId="6" applyAlignment="1" applyProtection="1" pivotButton="0" quotePrefix="1" xfId="0">
      <alignment horizontal="left" vertical="center"/>
      <protection locked="0" hidden="0"/>
    </xf>
    <xf numFmtId="3" fontId="16" fillId="0" borderId="6" applyAlignment="1" applyProtection="1" pivotButton="0" quotePrefix="0" xfId="0">
      <alignment horizontal="left" vertical="center"/>
      <protection locked="0" hidden="0"/>
    </xf>
    <xf numFmtId="3" fontId="16" fillId="4" borderId="16" applyAlignment="1" applyProtection="1" pivotButton="0" quotePrefix="0" xfId="0">
      <alignment horizontal="center" vertical="center"/>
      <protection locked="0" hidden="0"/>
    </xf>
    <xf numFmtId="3" fontId="16" fillId="4" borderId="17" applyAlignment="1" applyProtection="1" pivotButton="0" quotePrefix="0" xfId="0">
      <alignment horizontal="center" vertical="center"/>
      <protection locked="0" hidden="0"/>
    </xf>
    <xf numFmtId="3" fontId="16" fillId="4" borderId="18" applyAlignment="1" applyProtection="1" pivotButton="0" quotePrefix="0" xfId="0">
      <alignment horizontal="center" vertical="center"/>
      <protection locked="0" hidden="0"/>
    </xf>
    <xf numFmtId="0" fontId="19" fillId="0" borderId="13" applyAlignment="1" pivotButton="0" quotePrefix="0" xfId="0">
      <alignment horizontal="left" vertical="center" wrapText="1"/>
    </xf>
    <xf numFmtId="0" fontId="19" fillId="0" borderId="15" applyAlignment="1" pivotButton="0" quotePrefix="0" xfId="0">
      <alignment horizontal="left" vertical="center" wrapText="1"/>
    </xf>
    <xf numFmtId="0" fontId="19" fillId="0" borderId="2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 wrapText="1"/>
    </xf>
    <xf numFmtId="0" fontId="19" fillId="0" borderId="5" applyAlignment="1" pivotButton="0" quotePrefix="0" xfId="0">
      <alignment horizontal="left" vertical="center" wrapText="1"/>
    </xf>
    <xf numFmtId="0" fontId="19" fillId="0" borderId="6" applyAlignment="1" pivotButton="0" quotePrefix="0" xfId="0">
      <alignment horizontal="left" vertical="center" wrapText="1"/>
    </xf>
    <xf numFmtId="0" fontId="19" fillId="0" borderId="15" applyAlignment="1" pivotButton="0" quotePrefix="0" xfId="0">
      <alignment horizontal="right" vertical="center"/>
    </xf>
    <xf numFmtId="0" fontId="19" fillId="0" borderId="14" applyAlignment="1" pivotButton="0" quotePrefix="0" xfId="0">
      <alignment horizontal="right" vertical="center"/>
    </xf>
    <xf numFmtId="0" fontId="19" fillId="0" borderId="0" applyAlignment="1" pivotButton="0" quotePrefix="0" xfId="0">
      <alignment horizontal="right" vertical="center"/>
    </xf>
    <xf numFmtId="0" fontId="19" fillId="0" borderId="3" applyAlignment="1" pivotButton="0" quotePrefix="0" xfId="0">
      <alignment horizontal="right" vertical="center"/>
    </xf>
    <xf numFmtId="0" fontId="19" fillId="0" borderId="6" applyAlignment="1" pivotButton="0" quotePrefix="0" xfId="0">
      <alignment horizontal="right" vertical="center"/>
    </xf>
    <xf numFmtId="0" fontId="19" fillId="0" borderId="7" applyAlignment="1" pivotButton="0" quotePrefix="0" xfId="0">
      <alignment horizontal="right" vertical="center"/>
    </xf>
    <xf numFmtId="0" fontId="20" fillId="5" borderId="2" applyAlignment="1" pivotButton="0" quotePrefix="0" xfId="0">
      <alignment horizontal="left" vertical="center"/>
    </xf>
    <xf numFmtId="0" fontId="20" fillId="5" borderId="0" applyAlignment="1" pivotButton="0" quotePrefix="0" xfId="0">
      <alignment horizontal="left" vertical="center"/>
    </xf>
    <xf numFmtId="0" fontId="20" fillId="5" borderId="3" applyAlignment="1" pivotButton="0" quotePrefix="0" xfId="0">
      <alignment horizontal="left" vertical="center"/>
    </xf>
    <xf numFmtId="0" fontId="16" fillId="2" borderId="2" applyAlignment="1" pivotButton="0" quotePrefix="0" xfId="0">
      <alignment vertical="center"/>
    </xf>
    <xf numFmtId="0" fontId="16" fillId="2" borderId="0" applyAlignment="1" pivotButton="0" quotePrefix="0" xfId="0">
      <alignment vertical="center"/>
    </xf>
    <xf numFmtId="0" fontId="5" fillId="0" borderId="4" applyAlignment="1" applyProtection="1" pivotButton="0" quotePrefix="0" xfId="0">
      <alignment vertical="center" wrapText="1"/>
      <protection locked="0" hidden="0"/>
    </xf>
    <xf numFmtId="0" fontId="5" fillId="0" borderId="8" applyAlignment="1" applyProtection="1" pivotButton="0" quotePrefix="0" xfId="0">
      <alignment vertical="center" wrapText="1"/>
      <protection locked="0" hidden="0"/>
    </xf>
    <xf numFmtId="0" fontId="5" fillId="0" borderId="9" applyAlignment="1" applyProtection="1" pivotButton="0" quotePrefix="0" xfId="0">
      <alignment vertical="center" wrapText="1"/>
      <protection locked="0" hidden="0"/>
    </xf>
    <xf numFmtId="0" fontId="19" fillId="0" borderId="4" applyAlignment="1" pivotButton="0" quotePrefix="0" xfId="0">
      <alignment horizontal="left" vertical="center" wrapText="1"/>
    </xf>
    <xf numFmtId="0" fontId="0" fillId="0" borderId="15" pivotButton="0" quotePrefix="0" xfId="0"/>
    <xf numFmtId="0" fontId="19" fillId="0" borderId="9" applyAlignment="1" pivotButton="0" quotePrefix="0" xfId="0">
      <alignment horizontal="right" vertical="center"/>
    </xf>
    <xf numFmtId="0" fontId="0" fillId="0" borderId="1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20" fillId="5" borderId="12" applyAlignment="1" pivotButton="0" quotePrefix="0" xfId="0">
      <alignment horizontal="left" vertical="center"/>
    </xf>
    <xf numFmtId="0" fontId="0" fillId="0" borderId="6" applyProtection="1" pivotButton="0" quotePrefix="0" xfId="0">
      <protection locked="0" hidden="0"/>
    </xf>
    <xf numFmtId="164" fontId="18" fillId="2" borderId="0" applyAlignment="1" pivotButton="0" quotePrefix="0" xfId="0">
      <alignment horizontal="left" vertical="center"/>
    </xf>
    <xf numFmtId="0" fontId="0" fillId="0" borderId="8" applyProtection="1" pivotButton="0" quotePrefix="0" xfId="0">
      <protection locked="0" hidden="0"/>
    </xf>
    <xf numFmtId="164" fontId="16" fillId="2" borderId="0" applyAlignment="1" pivotButton="0" quotePrefix="1" xfId="0">
      <alignment horizontal="center" vertical="center"/>
    </xf>
    <xf numFmtId="3" fontId="16" fillId="4" borderId="25" applyAlignment="1" applyProtection="1" pivotButton="0" quotePrefix="0" xfId="0">
      <alignment horizontal="center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18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20" fillId="5" borderId="1" applyAlignment="1" pivotButton="0" quotePrefix="0" xfId="0">
      <alignment horizontal="left" vertical="center"/>
    </xf>
    <xf numFmtId="0" fontId="0" fillId="0" borderId="8" pivotButton="0" quotePrefix="0" xfId="0"/>
    <xf numFmtId="0" fontId="0" fillId="0" borderId="9" pivotButton="0" quotePrefix="0" xfId="0"/>
    <xf numFmtId="4" fontId="13" fillId="3" borderId="1" applyAlignment="1" pivotButton="0" quotePrefix="0" xfId="0">
      <alignment horizontal="center" vertical="center" wrapText="1"/>
    </xf>
    <xf numFmtId="0" fontId="13" fillId="3" borderId="1" applyAlignment="1" pivotButton="0" quotePrefix="0" xfId="0">
      <alignment horizontal="center" vertical="center" wrapText="1"/>
    </xf>
    <xf numFmtId="0" fontId="13" fillId="3" borderId="4" applyAlignment="1" pivotButton="0" quotePrefix="0" xfId="0">
      <alignment horizontal="center" vertical="center" wrapText="1"/>
    </xf>
    <xf numFmtId="0" fontId="26" fillId="3" borderId="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1" pivotButton="0" quotePrefix="0" xfId="0"/>
    <xf numFmtId="0" fontId="0" fillId="0" borderId="9" applyProtection="1" pivotButton="0" quotePrefix="0" xfId="0">
      <protection locked="0" hidden="0"/>
    </xf>
    <xf numFmtId="167" fontId="27" fillId="0" borderId="0" applyAlignment="1" pivotButton="0" quotePrefix="0" xfId="1">
      <alignment vertical="center"/>
    </xf>
    <xf numFmtId="0" fontId="7" fillId="3" borderId="1" applyAlignment="1" pivotButton="0" quotePrefix="0" xfId="0">
      <alignment horizontal="center" vertical="center"/>
    </xf>
    <xf numFmtId="165" fontId="23" fillId="0" borderId="15" applyAlignment="1" pivotButton="0" quotePrefix="0" xfId="0">
      <alignment horizontal="center" vertical="center"/>
    </xf>
    <xf numFmtId="43" fontId="5" fillId="0" borderId="15" applyAlignment="1" pivotButton="0" quotePrefix="0" xfId="0">
      <alignment horizontal="center" vertical="center"/>
    </xf>
    <xf numFmtId="166" fontId="9" fillId="3" borderId="1" applyAlignment="1" pivotButton="0" quotePrefix="0" xfId="0">
      <alignment horizontal="right" vertical="center"/>
    </xf>
    <xf numFmtId="166" fontId="25" fillId="2" borderId="0" applyAlignment="1" pivotButton="0" quotePrefix="0" xfId="0">
      <alignment vertical="center"/>
    </xf>
    <xf numFmtId="166" fontId="4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 wrapText="1"/>
    </xf>
    <xf numFmtId="166" fontId="4" fillId="2" borderId="0" applyAlignment="1" pivotButton="0" quotePrefix="0" xfId="0">
      <alignment vertical="center"/>
    </xf>
    <xf numFmtId="2" fontId="3" fillId="0" borderId="12" applyAlignment="1" pivotButton="0" quotePrefix="1" xfId="0">
      <alignment horizontal="center" vertical="center"/>
    </xf>
    <xf numFmtId="0" fontId="3" fillId="0" borderId="12" applyAlignment="1" pivotButton="0" quotePrefix="0" xfId="0">
      <alignment horizontal="center" vertical="center"/>
    </xf>
    <xf numFmtId="2" fontId="6" fillId="0" borderId="10" applyAlignment="1" applyProtection="1" pivotButton="0" quotePrefix="1" xfId="0">
      <alignment vertical="center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4" applyProtection="1" pivotButton="0" quotePrefix="0" xfId="0">
      <protection locked="0" hidden="0"/>
    </xf>
    <xf numFmtId="0" fontId="6" fillId="0" borderId="10" applyAlignment="1" applyProtection="1" pivotButton="0" quotePrefix="1" xfId="0">
      <alignment vertical="center"/>
      <protection locked="0" hidden="0"/>
    </xf>
    <xf numFmtId="2" fontId="6" fillId="0" borderId="11" applyAlignment="1" applyProtection="1" pivotButton="0" quotePrefix="1" xfId="0">
      <alignment vertical="center"/>
      <protection locked="0" hidden="0"/>
    </xf>
    <xf numFmtId="0" fontId="0" fillId="0" borderId="7" applyProtection="1" pivotButton="0" quotePrefix="0" xfId="0">
      <protection locked="0" hidden="0"/>
    </xf>
    <xf numFmtId="0" fontId="6" fillId="0" borderId="11" applyAlignment="1" applyProtection="1" pivotButton="0" quotePrefix="1" xfId="0">
      <alignment vertical="center"/>
      <protection locked="0" hidden="0"/>
    </xf>
  </cellXfs>
  <cellStyles count="3">
    <cellStyle name="Normal" xfId="0" builtinId="0"/>
    <cellStyle name="Comma" xfId="1" builtinId="3"/>
    <cellStyle name="Comma 2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Sheet1">
    <outlinePr summaryBelow="1" summaryRight="1"/>
    <pageSetUpPr fitToPage="1"/>
  </sheetPr>
  <dimension ref="A1:AN68"/>
  <sheetViews>
    <sheetView showGridLines="0" view="pageBreakPreview" topLeftCell="A8" zoomScaleNormal="100" zoomScaleSheetLayoutView="100" workbookViewId="0">
      <selection activeCell="F65" sqref="F65"/>
    </sheetView>
  </sheetViews>
  <sheetFormatPr baseColWidth="8" defaultColWidth="9.140625" defaultRowHeight="12.75"/>
  <cols>
    <col width="8.42578125" customWidth="1" style="85" min="1" max="1"/>
    <col width="13.7109375" customWidth="1" style="64" min="2" max="2"/>
    <col width="14" customWidth="1" style="64" min="3" max="3"/>
    <col width="15" customWidth="1" style="22" min="4" max="4"/>
    <col width="12.7109375" bestFit="1" customWidth="1" style="20" min="5" max="5"/>
    <col width="14.7109375" customWidth="1" style="65" min="6" max="7"/>
    <col width="14.7109375" customWidth="1" style="22" min="8" max="11"/>
    <col width="3.5703125" customWidth="1" style="20" min="12" max="30"/>
    <col width="9.140625" customWidth="1" style="20" min="31" max="32"/>
    <col width="9.140625" customWidth="1" style="20" min="33" max="34"/>
    <col hidden="1" width="12.42578125" customWidth="1" style="20" min="35" max="35"/>
    <col hidden="1" width="45" customWidth="1" style="20" min="36" max="36"/>
    <col hidden="1" width="7" customWidth="1" style="20" min="37" max="38"/>
    <col hidden="1" width="9.140625" customWidth="1" style="20" min="39" max="40"/>
    <col hidden="1" style="20" min="41" max="43"/>
    <col width="9.140625" customWidth="1" style="20" min="44" max="16384"/>
  </cols>
  <sheetData>
    <row r="1" ht="27.75" customHeight="1">
      <c r="A1" s="229" t="inlineStr">
        <is>
          <t>AGRO-INDUSTRY BUSINESS GROUP (LIVESTOCK)</t>
        </is>
      </c>
      <c r="B1" s="230" t="n"/>
      <c r="C1" s="230" t="n"/>
      <c r="D1" s="230" t="n"/>
      <c r="E1" s="230" t="n"/>
      <c r="F1" s="230" t="n"/>
      <c r="G1" s="230" t="n"/>
      <c r="H1" s="230" t="n"/>
      <c r="I1" s="231" t="inlineStr">
        <is>
          <t>TRAVELLING CLAIM FORM</t>
        </is>
      </c>
      <c r="J1" s="230" t="n"/>
      <c r="K1" s="230" t="n"/>
      <c r="L1" s="230" t="n"/>
      <c r="M1" s="230" t="n"/>
      <c r="N1" s="230" t="n"/>
      <c r="O1" s="230" t="n"/>
      <c r="P1" s="230" t="n"/>
      <c r="Q1" s="230" t="n"/>
      <c r="R1" s="230" t="n"/>
      <c r="S1" s="230" t="n"/>
      <c r="T1" s="230" t="n"/>
      <c r="U1" s="230" t="n"/>
      <c r="V1" s="230" t="n"/>
      <c r="W1" s="230" t="n"/>
      <c r="X1" s="230" t="n"/>
      <c r="Y1" s="230" t="n"/>
      <c r="Z1" s="230" t="n"/>
      <c r="AA1" s="232" t="n"/>
      <c r="AB1" s="51" t="n"/>
      <c r="AC1" s="51" t="n"/>
      <c r="AD1" s="51" t="n"/>
    </row>
    <row r="2" ht="12.75" customHeight="1">
      <c r="A2" s="233" t="n"/>
      <c r="AA2" s="234" t="n"/>
      <c r="AB2" s="52" t="n"/>
      <c r="AC2" s="52" t="n"/>
      <c r="AD2" s="52" t="n"/>
    </row>
    <row r="3" ht="18" customHeight="1">
      <c r="A3" s="233" t="n"/>
      <c r="AA3" s="234" t="n"/>
    </row>
    <row r="4" ht="18" customHeight="1">
      <c r="A4" s="235" t="n"/>
      <c r="B4" s="236" t="n"/>
      <c r="C4" s="236" t="n"/>
      <c r="D4" s="236" t="n"/>
      <c r="E4" s="236" t="n"/>
      <c r="F4" s="236" t="n"/>
      <c r="G4" s="236" t="n"/>
      <c r="H4" s="236" t="n"/>
      <c r="I4" s="236" t="n"/>
      <c r="J4" s="236" t="n"/>
      <c r="K4" s="236" t="n"/>
      <c r="L4" s="236" t="n"/>
      <c r="M4" s="236" t="n"/>
      <c r="N4" s="236" t="n"/>
      <c r="O4" s="236" t="n"/>
      <c r="P4" s="236" t="n"/>
      <c r="Q4" s="236" t="n"/>
      <c r="R4" s="236" t="n"/>
      <c r="S4" s="236" t="n"/>
      <c r="T4" s="236" t="n"/>
      <c r="U4" s="236" t="n"/>
      <c r="V4" s="236" t="n"/>
      <c r="W4" s="236" t="n"/>
      <c r="X4" s="236" t="n"/>
      <c r="Y4" s="236" t="n"/>
      <c r="Z4" s="236" t="n"/>
      <c r="AA4" s="237" t="n"/>
      <c r="AB4" s="23" t="n"/>
      <c r="AC4" s="23" t="n"/>
      <c r="AD4" s="23" t="n"/>
    </row>
    <row r="5" ht="33.75" customHeight="1">
      <c r="A5" s="238" t="inlineStr">
        <is>
          <t>SECTION A : REQUESTER DETAILS</t>
        </is>
      </c>
      <c r="X5" s="234" t="n"/>
      <c r="Y5" s="222" t="n"/>
      <c r="Z5" s="222" t="n"/>
      <c r="AA5" s="222" t="n"/>
      <c r="AB5" s="11" t="n"/>
      <c r="AC5" s="11" t="n"/>
      <c r="AD5" s="11" t="n"/>
    </row>
    <row r="6" ht="11.25" customHeight="1">
      <c r="A6" s="53" t="n"/>
      <c r="B6" s="54" t="n"/>
      <c r="C6" s="54" t="n"/>
      <c r="D6" s="55" t="n"/>
      <c r="E6" s="56" t="n"/>
      <c r="F6" s="57" t="n"/>
      <c r="G6" s="58" t="n"/>
      <c r="H6" s="44" t="n"/>
      <c r="I6" s="44" t="n"/>
      <c r="J6" s="44" t="n"/>
      <c r="K6" s="44" t="n"/>
      <c r="L6" s="59" t="n"/>
      <c r="M6" s="59" t="n"/>
      <c r="N6" s="59" t="n"/>
      <c r="O6" s="59" t="n"/>
      <c r="P6" s="59" t="n"/>
      <c r="Q6" s="59" t="n"/>
      <c r="R6" s="59" t="n"/>
      <c r="S6" s="59" t="n"/>
      <c r="T6" s="59" t="n"/>
      <c r="U6" s="59" t="n"/>
      <c r="V6" s="59" t="n"/>
      <c r="W6" s="59" t="n"/>
      <c r="X6" s="59" t="n"/>
      <c r="Y6" s="59" t="n"/>
      <c r="Z6" s="59" t="n"/>
      <c r="AA6" s="60" t="n"/>
      <c r="AB6" s="23" t="n"/>
      <c r="AC6" s="23" t="n"/>
      <c r="AD6" s="23" t="n"/>
    </row>
    <row r="7" ht="26.25" customHeight="1">
      <c r="A7" s="224" t="inlineStr">
        <is>
          <t>Company:</t>
        </is>
      </c>
      <c r="C7" s="205" t="inlineStr">
        <is>
          <t>PK Agro-Industrial Products (M) Sdn Bhd</t>
        </is>
      </c>
      <c r="D7" s="239" t="n"/>
      <c r="E7" s="239" t="n"/>
      <c r="F7" s="239" t="n"/>
      <c r="G7" s="239" t="n"/>
      <c r="I7" s="9" t="inlineStr">
        <is>
          <t>Employee ID:</t>
        </is>
      </c>
      <c r="L7" s="95" t="n">
        <v>9</v>
      </c>
      <c r="M7" s="95" t="n">
        <v>9</v>
      </c>
      <c r="N7" s="112" t="n">
        <v>1</v>
      </c>
      <c r="O7" s="112" t="n">
        <v>0</v>
      </c>
      <c r="P7" s="112" t="n">
        <v>1</v>
      </c>
      <c r="Q7" s="112" t="n">
        <v>6</v>
      </c>
      <c r="R7" s="112" t="n">
        <v>7</v>
      </c>
      <c r="S7" s="112" t="n">
        <v>1</v>
      </c>
      <c r="T7" s="112" t="n">
        <v>5</v>
      </c>
      <c r="U7" s="112" t="n">
        <v>2</v>
      </c>
      <c r="V7" s="61" t="n"/>
      <c r="W7" s="61" t="n"/>
      <c r="X7" s="61" t="n"/>
      <c r="Y7" s="61" t="n"/>
      <c r="Z7" s="61" t="n"/>
      <c r="AA7" s="90" t="n"/>
      <c r="AB7" s="240" t="n"/>
      <c r="AC7" s="240" t="n"/>
      <c r="AD7" s="240" t="n"/>
    </row>
    <row r="8" ht="26.25" customHeight="1">
      <c r="A8" s="224" t="inlineStr">
        <is>
          <t>Name:</t>
        </is>
      </c>
      <c r="C8" s="203" t="inlineStr">
        <is>
          <t>YUDTHAKARN KUMSAENKHOT</t>
        </is>
      </c>
      <c r="D8" s="241" t="n"/>
      <c r="E8" s="241" t="n"/>
      <c r="F8" s="241" t="n"/>
      <c r="G8" s="241" t="n"/>
      <c r="I8" s="9" t="inlineStr">
        <is>
          <t>PCA:</t>
        </is>
      </c>
      <c r="L8" s="112" t="n">
        <v>6</v>
      </c>
      <c r="M8" s="112" t="n">
        <v>5</v>
      </c>
      <c r="N8" s="112" t="n">
        <v>2</v>
      </c>
      <c r="O8" s="112" t="n">
        <v>2</v>
      </c>
      <c r="P8" s="112" t="n">
        <v>1</v>
      </c>
      <c r="Q8" s="112" t="n">
        <v>1</v>
      </c>
      <c r="R8" s="112" t="n">
        <v>8</v>
      </c>
      <c r="S8" s="112" t="n">
        <v>0</v>
      </c>
      <c r="T8" s="112" t="n">
        <v>0</v>
      </c>
      <c r="U8" s="61" t="n"/>
      <c r="V8" s="61" t="n"/>
      <c r="W8" s="61" t="n"/>
      <c r="X8" s="61" t="n"/>
      <c r="Y8" s="61" t="n"/>
      <c r="Z8" s="61" t="n"/>
      <c r="AA8" s="90" t="n"/>
      <c r="AB8" s="9" t="n"/>
      <c r="AC8" s="9" t="n"/>
      <c r="AD8" s="9" t="n"/>
    </row>
    <row r="9" ht="26.25" customHeight="1">
      <c r="A9" s="201" t="inlineStr">
        <is>
          <t>Position:</t>
        </is>
      </c>
      <c r="C9" s="203" t="inlineStr">
        <is>
          <t>GENERAL MANAGER</t>
        </is>
      </c>
      <c r="D9" s="241" t="n"/>
      <c r="E9" s="241" t="n"/>
      <c r="F9" s="17" t="inlineStr">
        <is>
          <t>JG:</t>
        </is>
      </c>
      <c r="G9" s="33" t="inlineStr">
        <is>
          <t>PC2 / JG12</t>
        </is>
      </c>
      <c r="I9" s="9" t="inlineStr">
        <is>
          <t>CCA:</t>
        </is>
      </c>
      <c r="L9" s="113" t="n">
        <v>6</v>
      </c>
      <c r="M9" s="113" t="n">
        <v>5</v>
      </c>
      <c r="N9" s="113" t="n">
        <v>2</v>
      </c>
      <c r="O9" s="113" t="n">
        <v>2</v>
      </c>
      <c r="P9" s="113" t="n">
        <v>1</v>
      </c>
      <c r="Q9" s="113" t="n">
        <v>1</v>
      </c>
      <c r="R9" s="112" t="n">
        <v>8</v>
      </c>
      <c r="S9" s="113" t="n">
        <v>0</v>
      </c>
      <c r="T9" s="113" t="n">
        <v>0</v>
      </c>
      <c r="U9" s="113" t="n">
        <v>1</v>
      </c>
      <c r="V9" s="61" t="n"/>
      <c r="W9" s="61" t="n"/>
      <c r="X9" s="61" t="n"/>
      <c r="Y9" s="61" t="n"/>
      <c r="Z9" s="61" t="n"/>
      <c r="AA9" s="90" t="n"/>
      <c r="AB9" s="9" t="n"/>
      <c r="AC9" s="9" t="n"/>
      <c r="AD9" s="9" t="n"/>
    </row>
    <row r="10" ht="26.25" customHeight="1">
      <c r="A10" s="201" t="inlineStr">
        <is>
          <t>Department:</t>
        </is>
      </c>
      <c r="B10" s="202" t="n"/>
      <c r="C10" s="203" t="inlineStr">
        <is>
          <t>CHENGKAU</t>
        </is>
      </c>
      <c r="D10" s="241" t="n"/>
      <c r="E10" s="241" t="n"/>
      <c r="F10" s="241" t="n"/>
      <c r="G10" s="241" t="n"/>
      <c r="I10" s="225" t="inlineStr">
        <is>
          <t>Travelling Period:</t>
        </is>
      </c>
      <c r="L10" s="112" t="n">
        <v>0</v>
      </c>
      <c r="M10" s="112" t="n">
        <v>1</v>
      </c>
      <c r="N10" s="112" t="n">
        <v>0</v>
      </c>
      <c r="O10" s="112" t="n">
        <v>2</v>
      </c>
      <c r="P10" s="112" t="n">
        <v>2</v>
      </c>
      <c r="Q10" s="112" t="n">
        <v>6</v>
      </c>
      <c r="R10" s="242" t="inlineStr">
        <is>
          <t>-</t>
        </is>
      </c>
      <c r="S10" s="112" t="n">
        <v>2</v>
      </c>
      <c r="T10" s="113" t="n">
        <v>8</v>
      </c>
      <c r="U10" s="112" t="n">
        <v>0</v>
      </c>
      <c r="V10" s="112" t="n">
        <v>2</v>
      </c>
      <c r="W10" s="112" t="n">
        <v>2</v>
      </c>
      <c r="X10" s="112" t="n">
        <v>6</v>
      </c>
      <c r="Y10" s="61" t="n"/>
      <c r="Z10" s="61" t="n"/>
      <c r="AA10" s="90" t="n"/>
      <c r="AB10" s="9" t="n"/>
      <c r="AC10" s="9" t="n"/>
      <c r="AD10" s="9" t="n"/>
    </row>
    <row r="11" ht="26.25" customHeight="1">
      <c r="A11" s="201" t="inlineStr">
        <is>
          <t>Branch:</t>
        </is>
      </c>
      <c r="B11" s="202" t="n"/>
      <c r="C11" s="203" t="inlineStr">
        <is>
          <t>CHENGKAU HATCHERY</t>
        </is>
      </c>
      <c r="D11" s="241" t="n"/>
      <c r="E11" s="241" t="n"/>
      <c r="F11" s="241" t="n"/>
      <c r="G11" s="241" t="n"/>
      <c r="I11" s="225" t="inlineStr">
        <is>
          <t>Reference Number:</t>
        </is>
      </c>
      <c r="L11" s="95">
        <f>N7</f>
        <v/>
      </c>
      <c r="M11" s="95">
        <f>O7</f>
        <v/>
      </c>
      <c r="N11" s="95">
        <f>P7</f>
        <v/>
      </c>
      <c r="O11" s="95">
        <f>Q7</f>
        <v/>
      </c>
      <c r="P11" s="95">
        <f>R7</f>
        <v/>
      </c>
      <c r="Q11" s="95">
        <f>S7</f>
        <v/>
      </c>
      <c r="R11" s="95">
        <f>T7</f>
        <v/>
      </c>
      <c r="S11" s="95">
        <f>U7</f>
        <v/>
      </c>
      <c r="T11" s="95" t="inlineStr">
        <is>
          <t>/</t>
        </is>
      </c>
      <c r="U11" s="95">
        <f>U10</f>
        <v/>
      </c>
      <c r="V11" s="95">
        <f>V10</f>
        <v/>
      </c>
      <c r="W11" s="95">
        <f>W10</f>
        <v/>
      </c>
      <c r="X11" s="95">
        <f>X10</f>
        <v/>
      </c>
      <c r="Y11" s="95" t="inlineStr">
        <is>
          <t>/</t>
        </is>
      </c>
      <c r="Z11" s="112" t="n">
        <v>0</v>
      </c>
      <c r="AA11" s="112" t="n">
        <v>1</v>
      </c>
      <c r="AB11" s="9" t="n"/>
      <c r="AC11" s="9" t="n"/>
      <c r="AD11" s="9" t="n"/>
    </row>
    <row r="12" ht="26.25" customHeight="1" thickBot="1">
      <c r="A12" s="224" t="inlineStr">
        <is>
          <t>Vehicle No.:</t>
        </is>
      </c>
      <c r="B12" s="7" t="n"/>
      <c r="C12" s="204" t="inlineStr">
        <is>
          <t>VLQ 8952</t>
        </is>
      </c>
      <c r="D12" s="239" t="n"/>
      <c r="E12" s="239" t="n"/>
      <c r="F12" s="239" t="n"/>
      <c r="G12" s="239" t="n"/>
      <c r="I12" s="20" t="n"/>
      <c r="J12" s="20" t="n"/>
      <c r="K12" s="20" t="n"/>
      <c r="Y12" s="49" t="n"/>
      <c r="Z12" s="49" t="n"/>
      <c r="AA12" s="86" t="n"/>
      <c r="AB12" s="9" t="n"/>
      <c r="AC12" s="9" t="n"/>
      <c r="AD12" s="9" t="n"/>
    </row>
    <row r="13" ht="26.25" customHeight="1" thickBot="1">
      <c r="A13" s="224" t="n"/>
      <c r="B13" s="8" t="n"/>
      <c r="C13" s="2" t="n"/>
      <c r="D13" s="25" t="n"/>
      <c r="E13" s="26" t="n"/>
      <c r="F13" s="10" t="n"/>
      <c r="G13" s="62" t="n"/>
      <c r="I13" s="88" t="inlineStr">
        <is>
          <t>Car Type:</t>
        </is>
      </c>
      <c r="J13" s="243" t="inlineStr">
        <is>
          <t>COMPANY CAR</t>
        </is>
      </c>
      <c r="K13" s="244" t="n"/>
      <c r="L13" s="244" t="n"/>
      <c r="M13" s="244" t="n"/>
      <c r="N13" s="244" t="n"/>
      <c r="O13" s="244" t="n"/>
      <c r="P13" s="244" t="n"/>
      <c r="Q13" s="245" t="n"/>
      <c r="R13" s="9" t="n"/>
      <c r="S13" s="87" t="inlineStr">
        <is>
          <t>Claim Rate:</t>
        </is>
      </c>
      <c r="U13" s="9" t="n"/>
      <c r="V13" s="9" t="n"/>
      <c r="W13" s="9" t="n"/>
      <c r="X13" s="183" t="n">
        <v>0.2</v>
      </c>
      <c r="Y13" s="244" t="n"/>
      <c r="Z13" s="246" t="n"/>
      <c r="AA13" s="91" t="n"/>
      <c r="AB13" s="9" t="n"/>
      <c r="AC13" s="9" t="n"/>
      <c r="AD13" s="9" t="n"/>
    </row>
    <row r="14" ht="11.25" customHeight="1">
      <c r="A14" s="45" t="n"/>
      <c r="B14" s="46" t="n"/>
      <c r="C14" s="46" t="n"/>
      <c r="D14" s="46" t="n"/>
      <c r="E14" s="46" t="n"/>
      <c r="F14" s="47" t="n"/>
      <c r="G14" s="63" t="n"/>
      <c r="H14" s="131" t="n"/>
      <c r="I14" s="48" t="inlineStr"/>
      <c r="J14" s="131" t="n"/>
      <c r="K14" s="131" t="n"/>
      <c r="L14" s="130" t="n"/>
      <c r="M14" s="130" t="n"/>
      <c r="N14" s="130" t="n"/>
      <c r="O14" s="130" t="n"/>
      <c r="P14" s="130" t="n"/>
      <c r="Q14" s="130" t="n"/>
      <c r="R14" s="130" t="n"/>
      <c r="S14" s="130" t="n"/>
      <c r="T14" s="130" t="n"/>
      <c r="U14" s="130" t="n"/>
      <c r="V14" s="130" t="n"/>
      <c r="W14" s="130" t="n"/>
      <c r="X14" s="130" t="n"/>
      <c r="Y14" s="130" t="n"/>
      <c r="Z14" s="130" t="n"/>
      <c r="AA14" s="34" t="n"/>
      <c r="AB14" s="23" t="n"/>
      <c r="AC14" s="23" t="n"/>
      <c r="AD14" s="23" t="n"/>
    </row>
    <row r="15" ht="33.75" customHeight="1">
      <c r="A15" s="247" t="inlineStr">
        <is>
          <t>SECTION B : MILEAGE CLAIM DETAILS</t>
        </is>
      </c>
      <c r="B15" s="248" t="n"/>
      <c r="C15" s="248" t="n"/>
      <c r="D15" s="248" t="n"/>
      <c r="E15" s="248" t="n"/>
      <c r="F15" s="248" t="n"/>
      <c r="G15" s="248" t="n"/>
      <c r="H15" s="248" t="n"/>
      <c r="I15" s="248" t="n"/>
      <c r="J15" s="248" t="n"/>
      <c r="K15" s="248" t="n"/>
      <c r="L15" s="248" t="n"/>
      <c r="M15" s="248" t="n"/>
      <c r="N15" s="248" t="n"/>
      <c r="O15" s="248" t="n"/>
      <c r="P15" s="248" t="n"/>
      <c r="Q15" s="248" t="n"/>
      <c r="R15" s="248" t="n"/>
      <c r="S15" s="248" t="n"/>
      <c r="T15" s="248" t="n"/>
      <c r="U15" s="248" t="n"/>
      <c r="V15" s="248" t="n"/>
      <c r="W15" s="248" t="n"/>
      <c r="X15" s="248" t="n"/>
      <c r="Y15" s="248" t="n"/>
      <c r="Z15" s="248" t="n"/>
      <c r="AA15" s="249" t="n"/>
      <c r="AB15" s="11" t="n"/>
      <c r="AC15" s="11" t="n"/>
      <c r="AD15" s="11" t="n"/>
    </row>
    <row r="16" ht="4.5" customHeight="1">
      <c r="A16" s="105" t="n"/>
      <c r="B16" s="106" t="n"/>
      <c r="C16" s="106" t="n"/>
      <c r="D16" s="189" t="n"/>
      <c r="E16" s="108" t="n"/>
      <c r="F16" s="109" t="n"/>
      <c r="G16" s="109" t="n"/>
      <c r="H16" s="189" t="n"/>
      <c r="I16" s="189" t="n"/>
      <c r="J16" s="189" t="n"/>
      <c r="K16" s="189" t="n"/>
      <c r="L16" s="189" t="n"/>
      <c r="M16" s="248" t="n"/>
      <c r="N16" s="248" t="n"/>
      <c r="O16" s="248" t="n"/>
      <c r="P16" s="248" t="n"/>
      <c r="Q16" s="189" t="n"/>
      <c r="R16" s="248" t="n"/>
      <c r="S16" s="248" t="n"/>
      <c r="T16" s="248" t="n"/>
      <c r="U16" s="248" t="n"/>
      <c r="V16" s="248" t="n"/>
      <c r="W16" s="248" t="n"/>
      <c r="X16" s="248" t="n"/>
      <c r="Y16" s="189" t="n"/>
      <c r="Z16" s="189" t="n"/>
      <c r="AA16" s="110" t="n"/>
    </row>
    <row r="17" ht="12.75" customFormat="1" customHeight="1" s="21">
      <c r="A17" s="182" t="inlineStr">
        <is>
          <t>DATE</t>
        </is>
      </c>
      <c r="B17" s="92" t="inlineStr">
        <is>
          <t>METER READING</t>
        </is>
      </c>
      <c r="C17" s="232" t="n"/>
      <c r="D17" s="182" t="inlineStr">
        <is>
          <t>TOTAL</t>
        </is>
      </c>
      <c r="E17" s="182" t="inlineStr">
        <is>
          <t>PERSONAL USAGE</t>
        </is>
      </c>
      <c r="F17" s="93" t="inlineStr">
        <is>
          <t>PETROL/DIESEL *for Company Car Only</t>
        </is>
      </c>
      <c r="G17" s="250" t="inlineStr">
        <is>
          <t>TOLL</t>
        </is>
      </c>
      <c r="H17" s="251" t="inlineStr">
        <is>
          <t>PARKING</t>
        </is>
      </c>
      <c r="I17" s="252" t="inlineStr">
        <is>
          <t>AIR FARE</t>
        </is>
      </c>
      <c r="J17" s="179" t="inlineStr">
        <is>
          <t>ACCOMODATION</t>
        </is>
      </c>
      <c r="K17" s="253" t="inlineStr">
        <is>
          <t>OUTSTATION ALLOWANCE (LOCAL/OVERSEA)</t>
        </is>
      </c>
      <c r="L17" s="179" t="inlineStr">
        <is>
          <t>TRANSPORTATION</t>
        </is>
      </c>
      <c r="M17" s="230" t="n"/>
      <c r="N17" s="230" t="n"/>
      <c r="O17" s="230" t="n"/>
      <c r="P17" s="232" t="n"/>
      <c r="Q17" s="182" t="inlineStr">
        <is>
          <t>PURPOSE OF TRAVEL/DESTINATION</t>
        </is>
      </c>
      <c r="R17" s="230" t="n"/>
      <c r="S17" s="230" t="n"/>
      <c r="T17" s="230" t="n"/>
      <c r="U17" s="230" t="n"/>
      <c r="V17" s="230" t="n"/>
      <c r="W17" s="230" t="n"/>
      <c r="X17" s="230" t="n"/>
      <c r="Y17" s="230" t="n"/>
      <c r="Z17" s="230" t="n"/>
      <c r="AA17" s="232" t="n"/>
      <c r="AB17" s="12" t="n"/>
      <c r="AC17" s="12" t="n"/>
      <c r="AD17" s="12" t="n"/>
    </row>
    <row r="18" ht="30" customFormat="1" customHeight="1" s="21">
      <c r="A18" s="254" t="n"/>
      <c r="B18" s="235" t="n"/>
      <c r="C18" s="237" t="n"/>
      <c r="D18" s="254" t="n"/>
      <c r="E18" s="254" t="n"/>
      <c r="F18" s="255" t="n"/>
      <c r="G18" s="255" t="n"/>
      <c r="H18" s="255" t="n"/>
      <c r="I18" s="235" t="n"/>
      <c r="J18" s="255" t="n"/>
      <c r="K18" s="255" t="n"/>
      <c r="L18" s="235" t="n"/>
      <c r="M18" s="236" t="n"/>
      <c r="N18" s="236" t="n"/>
      <c r="O18" s="236" t="n"/>
      <c r="P18" s="237" t="n"/>
      <c r="Q18" s="233" t="n"/>
      <c r="AA18" s="234" t="n"/>
      <c r="AB18" s="12" t="n"/>
      <c r="AC18" s="12" t="n"/>
      <c r="AD18" s="12" t="n"/>
    </row>
    <row r="19" ht="21" customFormat="1" customHeight="1" s="21">
      <c r="A19" s="255" t="n"/>
      <c r="B19" s="92" t="inlineStr">
        <is>
          <t>FROM</t>
        </is>
      </c>
      <c r="C19" s="92" t="inlineStr">
        <is>
          <t>TO</t>
        </is>
      </c>
      <c r="D19" s="255" t="n"/>
      <c r="E19" s="255" t="n"/>
      <c r="F19" s="93" t="inlineStr">
        <is>
          <t>RM</t>
        </is>
      </c>
      <c r="G19" s="93" t="inlineStr">
        <is>
          <t>RM</t>
        </is>
      </c>
      <c r="H19" s="182" t="inlineStr">
        <is>
          <t>RM</t>
        </is>
      </c>
      <c r="I19" s="182" t="inlineStr">
        <is>
          <t>RM</t>
        </is>
      </c>
      <c r="J19" s="182" t="inlineStr">
        <is>
          <t>RM</t>
        </is>
      </c>
      <c r="K19" s="182" t="inlineStr">
        <is>
          <t>RM</t>
        </is>
      </c>
      <c r="L19" s="182" t="inlineStr">
        <is>
          <t>RM</t>
        </is>
      </c>
      <c r="M19" s="248" t="n"/>
      <c r="N19" s="248" t="n"/>
      <c r="O19" s="248" t="n"/>
      <c r="P19" s="249" t="n"/>
      <c r="Q19" s="235" t="n"/>
      <c r="R19" s="236" t="n"/>
      <c r="S19" s="236" t="n"/>
      <c r="T19" s="236" t="n"/>
      <c r="U19" s="236" t="n"/>
      <c r="V19" s="236" t="n"/>
      <c r="W19" s="236" t="n"/>
      <c r="X19" s="236" t="n"/>
      <c r="Y19" s="236" t="n"/>
      <c r="Z19" s="236" t="n"/>
      <c r="AA19" s="237" t="n"/>
      <c r="AB19" s="12" t="n"/>
      <c r="AC19" s="12" t="n"/>
      <c r="AD19" s="12" t="n"/>
      <c r="AI19" s="121" t="inlineStr">
        <is>
          <t>CONDITION:</t>
        </is>
      </c>
      <c r="AJ19" s="121" t="inlineStr">
        <is>
          <t>SELECTION:-</t>
        </is>
      </c>
      <c r="AK19" s="121" t="n"/>
      <c r="AL19" s="121" t="n"/>
      <c r="AN19" s="111" t="n"/>
    </row>
    <row r="20" ht="30" customHeight="1">
      <c r="A20" s="1" t="n">
        <v>1</v>
      </c>
      <c r="B20" s="127" t="n">
        <v>882</v>
      </c>
      <c r="C20" s="127" t="n">
        <v>917</v>
      </c>
      <c r="D20" s="4">
        <f>C20-B20</f>
        <v/>
      </c>
      <c r="E20" s="126" t="n"/>
      <c r="F20" s="150" t="n"/>
      <c r="G20" s="150" t="n"/>
      <c r="H20" s="150" t="n"/>
      <c r="I20" s="150" t="n"/>
      <c r="J20" s="150" t="n"/>
      <c r="K20" s="150" t="n"/>
      <c r="L20" s="150" t="n"/>
      <c r="M20" s="241" t="n"/>
      <c r="N20" s="241" t="n"/>
      <c r="O20" s="241" t="n"/>
      <c r="P20" s="256" t="n"/>
      <c r="Q20" s="151" t="inlineStr">
        <is>
          <t>CKH TO MELAKA</t>
        </is>
      </c>
      <c r="R20" s="241" t="n"/>
      <c r="S20" s="241" t="n"/>
      <c r="T20" s="241" t="n"/>
      <c r="U20" s="241" t="n"/>
      <c r="V20" s="241" t="n"/>
      <c r="W20" s="241" t="n"/>
      <c r="X20" s="241" t="n"/>
      <c r="Y20" s="241" t="n"/>
      <c r="Z20" s="241" t="n"/>
      <c r="AA20" s="256" t="n"/>
      <c r="AB20" s="19" t="n"/>
      <c r="AC20" s="19" t="n"/>
      <c r="AD20" s="19" t="n"/>
      <c r="AH20" s="123" t="n"/>
      <c r="AI20" s="122" t="inlineStr">
        <is>
          <t>0.28/KM</t>
        </is>
      </c>
      <c r="AJ20" s="122" t="inlineStr">
        <is>
          <t>MOTORCYCLE</t>
        </is>
      </c>
      <c r="AK20" s="257" t="n">
        <v>0.28</v>
      </c>
      <c r="AL20" s="257" t="n"/>
      <c r="AM20" s="28" t="inlineStr">
        <is>
          <t>JG1</t>
        </is>
      </c>
      <c r="AN20" s="123" t="n">
        <v>0.47</v>
      </c>
    </row>
    <row r="21" ht="30" customHeight="1">
      <c r="A21" s="1" t="n">
        <v>2</v>
      </c>
      <c r="B21" s="126" t="n">
        <v>917</v>
      </c>
      <c r="C21" s="127" t="n">
        <v>1142</v>
      </c>
      <c r="D21" s="4">
        <f>C21-B21</f>
        <v/>
      </c>
      <c r="E21" s="126" t="n"/>
      <c r="F21" s="150" t="n">
        <v>68</v>
      </c>
      <c r="G21" s="150" t="n">
        <v>21.16</v>
      </c>
      <c r="H21" s="150" t="n"/>
      <c r="I21" s="150" t="n"/>
      <c r="J21" s="150" t="n"/>
      <c r="K21" s="150" t="n"/>
      <c r="L21" s="150" t="n"/>
      <c r="M21" s="241" t="n"/>
      <c r="N21" s="241" t="n"/>
      <c r="O21" s="241" t="n"/>
      <c r="P21" s="256" t="n"/>
      <c r="Q21" s="151" t="inlineStr">
        <is>
          <t>MELAKA TO KLIA TO CKH</t>
        </is>
      </c>
      <c r="R21" s="241" t="n"/>
      <c r="S21" s="241" t="n"/>
      <c r="T21" s="241" t="n"/>
      <c r="U21" s="241" t="n"/>
      <c r="V21" s="241" t="n"/>
      <c r="W21" s="241" t="n"/>
      <c r="X21" s="241" t="n"/>
      <c r="Y21" s="241" t="n"/>
      <c r="Z21" s="241" t="n"/>
      <c r="AA21" s="256" t="n"/>
      <c r="AB21" s="19" t="n"/>
      <c r="AC21" s="19" t="n"/>
      <c r="AD21" s="19" t="n"/>
      <c r="AH21" s="123" t="n"/>
      <c r="AI21" s="122" t="inlineStr">
        <is>
          <t>MAX 0.20/KM</t>
        </is>
      </c>
      <c r="AJ21" s="122" t="inlineStr">
        <is>
          <t>COMPANY CAR</t>
        </is>
      </c>
      <c r="AK21" s="257" t="n">
        <v>0.2</v>
      </c>
      <c r="AL21" s="257" t="n"/>
      <c r="AM21" s="28" t="inlineStr">
        <is>
          <t>JG2</t>
        </is>
      </c>
      <c r="AN21" s="123" t="n">
        <v>0.48</v>
      </c>
    </row>
    <row r="22" ht="30" customFormat="1" customHeight="1" s="21">
      <c r="A22" s="1" t="n">
        <v>3</v>
      </c>
      <c r="B22" s="126" t="n">
        <v>1142</v>
      </c>
      <c r="C22" s="127" t="n">
        <v>1174</v>
      </c>
      <c r="D22" s="5">
        <f>C22-B22</f>
        <v/>
      </c>
      <c r="E22" s="126" t="n"/>
      <c r="F22" s="150" t="n"/>
      <c r="G22" s="150" t="n"/>
      <c r="H22" s="150" t="n"/>
      <c r="I22" s="150" t="n"/>
      <c r="J22" s="150" t="n"/>
      <c r="K22" s="150" t="n"/>
      <c r="L22" s="150" t="n"/>
      <c r="M22" s="241" t="n"/>
      <c r="N22" s="241" t="n"/>
      <c r="O22" s="241" t="n"/>
      <c r="P22" s="256" t="n"/>
      <c r="Q22" s="151" t="inlineStr">
        <is>
          <t>CKH TO TAMPIN</t>
        </is>
      </c>
      <c r="R22" s="241" t="n"/>
      <c r="S22" s="241" t="n"/>
      <c r="T22" s="241" t="n"/>
      <c r="U22" s="241" t="n"/>
      <c r="V22" s="241" t="n"/>
      <c r="W22" s="241" t="n"/>
      <c r="X22" s="241" t="n"/>
      <c r="Y22" s="241" t="n"/>
      <c r="Z22" s="241" t="n"/>
      <c r="AA22" s="256" t="n"/>
      <c r="AB22" s="19" t="n"/>
      <c r="AC22" s="19" t="n"/>
      <c r="AD22" s="19" t="n"/>
      <c r="AH22" s="111" t="n"/>
      <c r="AI22" s="121" t="inlineStr">
        <is>
          <t>Follow rate</t>
        </is>
      </c>
      <c r="AJ22" s="122" t="inlineStr">
        <is>
          <t>PRIVATE CAR (NO ALLOWANCE)</t>
        </is>
      </c>
      <c r="AK22" s="257" t="n">
        <v>0.59</v>
      </c>
      <c r="AL22" s="257" t="n"/>
      <c r="AM22" s="29" t="inlineStr">
        <is>
          <t>JG3</t>
        </is>
      </c>
      <c r="AN22" s="111" t="n">
        <v>0.49</v>
      </c>
    </row>
    <row r="23" ht="30" customHeight="1">
      <c r="A23" s="1" t="n">
        <v>4</v>
      </c>
      <c r="B23" s="126" t="n"/>
      <c r="C23" s="127" t="n"/>
      <c r="D23" s="4">
        <f>C23-B23</f>
        <v/>
      </c>
      <c r="E23" s="126" t="n"/>
      <c r="F23" s="150" t="n"/>
      <c r="G23" s="150" t="n"/>
      <c r="H23" s="150" t="n"/>
      <c r="I23" s="150" t="n"/>
      <c r="J23" s="150" t="n"/>
      <c r="K23" s="150" t="n"/>
      <c r="L23" s="150" t="n"/>
      <c r="M23" s="241" t="n"/>
      <c r="N23" s="241" t="n"/>
      <c r="O23" s="241" t="n"/>
      <c r="P23" s="256" t="n"/>
      <c r="Q23" s="151" t="n"/>
      <c r="R23" s="241" t="n"/>
      <c r="S23" s="241" t="n"/>
      <c r="T23" s="241" t="n"/>
      <c r="U23" s="241" t="n"/>
      <c r="V23" s="241" t="n"/>
      <c r="W23" s="241" t="n"/>
      <c r="X23" s="241" t="n"/>
      <c r="Y23" s="241" t="n"/>
      <c r="Z23" s="241" t="n"/>
      <c r="AA23" s="256" t="n"/>
      <c r="AB23" s="19" t="n"/>
      <c r="AC23" s="19" t="n"/>
      <c r="AD23" s="19" t="n"/>
      <c r="AH23" s="123" t="n"/>
      <c r="AI23" s="122" t="inlineStr">
        <is>
          <t>MAX 0.20/KM</t>
        </is>
      </c>
      <c r="AJ23" s="122" t="inlineStr">
        <is>
          <t>PRIVATE CAR (WITH ALLOWANCE - PETROL)</t>
        </is>
      </c>
      <c r="AK23" s="257" t="n">
        <v>0.2</v>
      </c>
      <c r="AL23" s="257" t="n"/>
      <c r="AM23" s="28" t="inlineStr">
        <is>
          <t>JG4</t>
        </is>
      </c>
      <c r="AN23" s="123" t="n">
        <v>0.5</v>
      </c>
    </row>
    <row r="24" ht="30" customHeight="1">
      <c r="A24" s="1" t="n">
        <v>5</v>
      </c>
      <c r="B24" s="126" t="n">
        <v>1174</v>
      </c>
      <c r="C24" s="127" t="n">
        <v>1369</v>
      </c>
      <c r="D24" s="4">
        <f>C24-B24</f>
        <v/>
      </c>
      <c r="E24" s="126" t="n"/>
      <c r="F24" s="150" t="n">
        <v>55</v>
      </c>
      <c r="G24" s="150" t="n">
        <v>16.24</v>
      </c>
      <c r="H24" s="150" t="n">
        <v>5.5</v>
      </c>
      <c r="I24" s="150" t="n"/>
      <c r="J24" s="150" t="n"/>
      <c r="K24" s="150" t="n"/>
      <c r="L24" s="150" t="n"/>
      <c r="M24" s="241" t="n"/>
      <c r="N24" s="241" t="n"/>
      <c r="O24" s="241" t="n"/>
      <c r="P24" s="256" t="n"/>
      <c r="Q24" s="151" t="inlineStr">
        <is>
          <t>CKH TO KLIA</t>
        </is>
      </c>
      <c r="R24" s="241" t="n"/>
      <c r="S24" s="241" t="n"/>
      <c r="T24" s="241" t="n"/>
      <c r="U24" s="241" t="n"/>
      <c r="V24" s="241" t="n"/>
      <c r="W24" s="241" t="n"/>
      <c r="X24" s="241" t="n"/>
      <c r="Y24" s="241" t="n"/>
      <c r="Z24" s="241" t="n"/>
      <c r="AA24" s="256" t="n"/>
      <c r="AB24" s="19" t="n"/>
      <c r="AC24" s="19" t="n"/>
      <c r="AD24" s="19" t="n"/>
      <c r="AH24" s="123" t="n"/>
      <c r="AI24" s="122" t="inlineStr">
        <is>
          <t>MAX 0.20/KM</t>
        </is>
      </c>
      <c r="AJ24" s="122" t="inlineStr">
        <is>
          <t>PRIVATE CAR (WITH ALLOWANCE - ELECTRIC)</t>
        </is>
      </c>
      <c r="AK24" s="257" t="n">
        <v>0.2</v>
      </c>
      <c r="AL24" s="257" t="n"/>
      <c r="AM24" s="28" t="inlineStr">
        <is>
          <t>JG5</t>
        </is>
      </c>
      <c r="AN24" s="123" t="n">
        <v>0.51</v>
      </c>
    </row>
    <row r="25" ht="30" customHeight="1">
      <c r="A25" s="1" t="n">
        <v>6</v>
      </c>
      <c r="B25" s="126" t="n">
        <v>1369</v>
      </c>
      <c r="C25" s="127" t="n">
        <v>1436</v>
      </c>
      <c r="D25" s="4">
        <f>C25-B25</f>
        <v/>
      </c>
      <c r="E25" s="126" t="n"/>
      <c r="F25" s="150" t="n"/>
      <c r="G25" s="150" t="n"/>
      <c r="H25" s="150" t="n"/>
      <c r="I25" s="150" t="n"/>
      <c r="J25" s="150" t="n"/>
      <c r="K25" s="150" t="n"/>
      <c r="L25" s="150" t="n"/>
      <c r="M25" s="241" t="n"/>
      <c r="N25" s="241" t="n"/>
      <c r="O25" s="241" t="n"/>
      <c r="P25" s="256" t="n"/>
      <c r="Q25" s="151" t="inlineStr">
        <is>
          <t>CKH TO SEREMBAN</t>
        </is>
      </c>
      <c r="R25" s="241" t="n"/>
      <c r="S25" s="241" t="n"/>
      <c r="T25" s="241" t="n"/>
      <c r="U25" s="241" t="n"/>
      <c r="V25" s="241" t="n"/>
      <c r="W25" s="241" t="n"/>
      <c r="X25" s="241" t="n"/>
      <c r="Y25" s="241" t="n"/>
      <c r="Z25" s="241" t="n"/>
      <c r="AA25" s="256" t="n"/>
      <c r="AB25" s="19" t="n"/>
      <c r="AC25" s="19" t="n"/>
      <c r="AD25" s="19" t="n"/>
      <c r="AH25" s="123" t="n"/>
      <c r="AI25" s="122" t="inlineStr">
        <is>
          <t>MAX 0.22/KM</t>
        </is>
      </c>
      <c r="AJ25" s="122" t="inlineStr">
        <is>
          <t>PRIVATE CAR (WITH ALLOWANCE - DIESEL)</t>
        </is>
      </c>
      <c r="AK25" s="257" t="n">
        <v>0.22</v>
      </c>
      <c r="AL25" s="257" t="n"/>
      <c r="AM25" s="28" t="inlineStr">
        <is>
          <t>JG6</t>
        </is>
      </c>
      <c r="AN25" s="111" t="n">
        <v>0.52</v>
      </c>
    </row>
    <row r="26" ht="30" customHeight="1">
      <c r="A26" s="1" t="n">
        <v>7</v>
      </c>
      <c r="B26" s="126" t="n">
        <v>1436</v>
      </c>
      <c r="C26" s="127" t="n">
        <v>1469</v>
      </c>
      <c r="D26" s="4">
        <f>C26-B26</f>
        <v/>
      </c>
      <c r="E26" s="126" t="n"/>
      <c r="F26" s="150" t="n"/>
      <c r="G26" s="150" t="n"/>
      <c r="H26" s="150" t="n"/>
      <c r="I26" s="150" t="n"/>
      <c r="J26" s="150" t="n"/>
      <c r="K26" s="150" t="n"/>
      <c r="L26" s="150" t="n"/>
      <c r="M26" s="241" t="n"/>
      <c r="N26" s="241" t="n"/>
      <c r="O26" s="241" t="n"/>
      <c r="P26" s="256" t="n"/>
      <c r="Q26" s="151" t="inlineStr">
        <is>
          <t>CKH TO TAMPIN</t>
        </is>
      </c>
      <c r="R26" s="241" t="n"/>
      <c r="S26" s="241" t="n"/>
      <c r="T26" s="241" t="n"/>
      <c r="U26" s="241" t="n"/>
      <c r="V26" s="241" t="n"/>
      <c r="W26" s="241" t="n"/>
      <c r="X26" s="241" t="n"/>
      <c r="Y26" s="241" t="n"/>
      <c r="Z26" s="241" t="n"/>
      <c r="AA26" s="256" t="n"/>
      <c r="AB26" s="19" t="n"/>
      <c r="AC26" s="19" t="n"/>
      <c r="AD26" s="19" t="n"/>
      <c r="AM26" s="28" t="inlineStr">
        <is>
          <t>PC1 / JG7</t>
        </is>
      </c>
      <c r="AN26" s="123" t="n">
        <v>0.53</v>
      </c>
    </row>
    <row r="27" ht="30" customHeight="1">
      <c r="A27" s="1" t="n">
        <v>8</v>
      </c>
      <c r="B27" s="126" t="n">
        <v>1469</v>
      </c>
      <c r="C27" s="127" t="n">
        <v>1688</v>
      </c>
      <c r="D27" s="4">
        <f>C27-B27</f>
        <v/>
      </c>
      <c r="E27" s="126" t="n"/>
      <c r="F27" s="150" t="n"/>
      <c r="G27" s="150" t="n">
        <v>16.24</v>
      </c>
      <c r="H27" s="150" t="n">
        <v>16.5</v>
      </c>
      <c r="I27" s="150" t="n"/>
      <c r="J27" s="150" t="n"/>
      <c r="K27" s="150" t="n"/>
      <c r="L27" s="150" t="n"/>
      <c r="M27" s="241" t="n"/>
      <c r="N27" s="241" t="n"/>
      <c r="O27" s="241" t="n"/>
      <c r="P27" s="256" t="n"/>
      <c r="Q27" s="151" t="inlineStr">
        <is>
          <t>CKH TO KLIA TO CKH</t>
        </is>
      </c>
      <c r="R27" s="241" t="n"/>
      <c r="S27" s="241" t="n"/>
      <c r="T27" s="241" t="n"/>
      <c r="U27" s="241" t="n"/>
      <c r="V27" s="241" t="n"/>
      <c r="W27" s="241" t="n"/>
      <c r="X27" s="241" t="n"/>
      <c r="Y27" s="241" t="n"/>
      <c r="Z27" s="241" t="n"/>
      <c r="AA27" s="256" t="n"/>
      <c r="AB27" s="19" t="n"/>
      <c r="AC27" s="19" t="n"/>
      <c r="AD27" s="19" t="n"/>
      <c r="AM27" s="28" t="inlineStr">
        <is>
          <t>PC1 / JG8</t>
        </is>
      </c>
      <c r="AN27" s="123" t="n">
        <v>0.54</v>
      </c>
    </row>
    <row r="28" ht="30" customHeight="1">
      <c r="A28" s="1" t="n">
        <v>9</v>
      </c>
      <c r="B28" s="126" t="n"/>
      <c r="C28" s="127" t="n"/>
      <c r="D28" s="4">
        <f>C28-B28</f>
        <v/>
      </c>
      <c r="E28" s="126" t="n"/>
      <c r="F28" s="150" t="n"/>
      <c r="G28" s="150" t="n"/>
      <c r="H28" s="150" t="n"/>
      <c r="I28" s="150" t="n"/>
      <c r="J28" s="150" t="n"/>
      <c r="K28" s="150" t="n"/>
      <c r="L28" s="150" t="n"/>
      <c r="M28" s="241" t="n"/>
      <c r="N28" s="241" t="n"/>
      <c r="O28" s="241" t="n"/>
      <c r="P28" s="256" t="n"/>
      <c r="Q28" s="151" t="n"/>
      <c r="R28" s="241" t="n"/>
      <c r="S28" s="241" t="n"/>
      <c r="T28" s="241" t="n"/>
      <c r="U28" s="241" t="n"/>
      <c r="V28" s="241" t="n"/>
      <c r="W28" s="241" t="n"/>
      <c r="X28" s="241" t="n"/>
      <c r="Y28" s="241" t="n"/>
      <c r="Z28" s="241" t="n"/>
      <c r="AA28" s="256" t="n"/>
      <c r="AB28" s="19" t="n"/>
      <c r="AC28" s="19" t="n"/>
      <c r="AD28" s="19" t="n"/>
      <c r="AM28" s="28" t="inlineStr">
        <is>
          <t>PC1 / JG9</t>
        </is>
      </c>
      <c r="AN28" s="111" t="n">
        <v>0.55</v>
      </c>
    </row>
    <row r="29" ht="30" customHeight="1">
      <c r="A29" s="1" t="n">
        <v>10</v>
      </c>
      <c r="B29" s="126" t="n"/>
      <c r="C29" s="127" t="n"/>
      <c r="D29" s="4">
        <f>C29-B29</f>
        <v/>
      </c>
      <c r="E29" s="126" t="n"/>
      <c r="F29" s="150" t="n"/>
      <c r="G29" s="150" t="n"/>
      <c r="H29" s="150" t="n"/>
      <c r="I29" s="150" t="n"/>
      <c r="J29" s="150" t="n"/>
      <c r="K29" s="150" t="n"/>
      <c r="L29" s="150" t="n"/>
      <c r="M29" s="241" t="n"/>
      <c r="N29" s="241" t="n"/>
      <c r="O29" s="241" t="n"/>
      <c r="P29" s="256" t="n"/>
      <c r="Q29" s="151" t="n"/>
      <c r="R29" s="241" t="n"/>
      <c r="S29" s="241" t="n"/>
      <c r="T29" s="241" t="n"/>
      <c r="U29" s="241" t="n"/>
      <c r="V29" s="241" t="n"/>
      <c r="W29" s="241" t="n"/>
      <c r="X29" s="241" t="n"/>
      <c r="Y29" s="241" t="n"/>
      <c r="Z29" s="241" t="n"/>
      <c r="AA29" s="256" t="n"/>
      <c r="AB29" s="19" t="n"/>
      <c r="AC29" s="19" t="n"/>
      <c r="AD29" s="19" t="n"/>
      <c r="AM29" s="28" t="inlineStr">
        <is>
          <t>PC1 / JG10</t>
        </is>
      </c>
      <c r="AN29" s="123" t="n">
        <v>0.5600000000000001</v>
      </c>
    </row>
    <row r="30" ht="30" customHeight="1">
      <c r="A30" s="1" t="n">
        <v>11</v>
      </c>
      <c r="B30" s="126" t="n">
        <v>1688</v>
      </c>
      <c r="C30" s="127" t="n">
        <v>2191</v>
      </c>
      <c r="D30" s="4">
        <f>C30-B30</f>
        <v/>
      </c>
      <c r="E30" s="126" t="n"/>
      <c r="F30" s="150" t="n">
        <v>169.12</v>
      </c>
      <c r="G30" s="150" t="n">
        <v>52.4</v>
      </c>
      <c r="H30" s="150" t="n"/>
      <c r="I30" s="150" t="n"/>
      <c r="J30" s="150" t="n"/>
      <c r="K30" s="150" t="n"/>
      <c r="L30" s="150" t="n"/>
      <c r="M30" s="241" t="n"/>
      <c r="N30" s="241" t="n"/>
      <c r="O30" s="241" t="n"/>
      <c r="P30" s="256" t="n"/>
      <c r="Q30" s="151" t="inlineStr">
        <is>
          <t>CKH TO PENANG</t>
        </is>
      </c>
      <c r="R30" s="241" t="n"/>
      <c r="S30" s="241" t="n"/>
      <c r="T30" s="241" t="n"/>
      <c r="U30" s="241" t="n"/>
      <c r="V30" s="241" t="n"/>
      <c r="W30" s="241" t="n"/>
      <c r="X30" s="241" t="n"/>
      <c r="Y30" s="241" t="n"/>
      <c r="Z30" s="241" t="n"/>
      <c r="AA30" s="256" t="n"/>
      <c r="AB30" s="19" t="n"/>
      <c r="AC30" s="19" t="n"/>
      <c r="AD30" s="19" t="n"/>
      <c r="AM30" s="28" t="inlineStr">
        <is>
          <t>PC2 / JG11</t>
        </is>
      </c>
      <c r="AN30" s="123" t="n">
        <v>0.57</v>
      </c>
    </row>
    <row r="31" ht="30" customHeight="1">
      <c r="A31" s="1" t="n">
        <v>12</v>
      </c>
      <c r="B31" s="126" t="n">
        <v>2191</v>
      </c>
      <c r="C31" s="127" t="n">
        <v>2197</v>
      </c>
      <c r="D31" s="4">
        <f>C31-B31</f>
        <v/>
      </c>
      <c r="E31" s="126" t="n"/>
      <c r="F31" s="150" t="n"/>
      <c r="G31" s="150" t="n"/>
      <c r="H31" s="150" t="n"/>
      <c r="I31" s="150" t="n"/>
      <c r="J31" s="150" t="n"/>
      <c r="K31" s="150" t="n"/>
      <c r="L31" s="150" t="n"/>
      <c r="M31" s="241" t="n"/>
      <c r="N31" s="241" t="n"/>
      <c r="O31" s="241" t="n"/>
      <c r="P31" s="256" t="n"/>
      <c r="Q31" s="151" t="inlineStr">
        <is>
          <t>PENANG TO HOTEL</t>
        </is>
      </c>
      <c r="R31" s="241" t="n"/>
      <c r="S31" s="241" t="n"/>
      <c r="T31" s="241" t="n"/>
      <c r="U31" s="241" t="n"/>
      <c r="V31" s="241" t="n"/>
      <c r="W31" s="241" t="n"/>
      <c r="X31" s="241" t="n"/>
      <c r="Y31" s="241" t="n"/>
      <c r="Z31" s="241" t="n"/>
      <c r="AA31" s="256" t="n"/>
      <c r="AB31" s="19" t="n"/>
      <c r="AC31" s="19" t="n"/>
      <c r="AD31" s="19" t="n"/>
      <c r="AM31" s="28" t="inlineStr">
        <is>
          <t>PC2 / JG12</t>
        </is>
      </c>
      <c r="AN31" s="111" t="n">
        <v>0.58</v>
      </c>
    </row>
    <row r="32" ht="30" customHeight="1">
      <c r="A32" s="1" t="n">
        <v>13</v>
      </c>
      <c r="B32" s="126" t="n">
        <v>2197</v>
      </c>
      <c r="C32" s="127" t="n">
        <v>2712</v>
      </c>
      <c r="D32" s="4">
        <f>C32-B32</f>
        <v/>
      </c>
      <c r="E32" s="126" t="n"/>
      <c r="F32" s="150" t="n">
        <v>90.75</v>
      </c>
      <c r="G32" s="150" t="n">
        <v>46.11</v>
      </c>
      <c r="H32" s="150" t="n"/>
      <c r="I32" s="150" t="n"/>
      <c r="J32" s="150" t="n"/>
      <c r="K32" s="150" t="n"/>
      <c r="L32" s="150" t="n"/>
      <c r="M32" s="241" t="n"/>
      <c r="N32" s="241" t="n"/>
      <c r="O32" s="241" t="n"/>
      <c r="P32" s="256" t="n"/>
      <c r="Q32" s="151" t="inlineStr">
        <is>
          <t>PENANG TO CKH</t>
        </is>
      </c>
      <c r="R32" s="241" t="n"/>
      <c r="S32" s="241" t="n"/>
      <c r="T32" s="241" t="n"/>
      <c r="U32" s="241" t="n"/>
      <c r="V32" s="241" t="n"/>
      <c r="W32" s="241" t="n"/>
      <c r="X32" s="241" t="n"/>
      <c r="Y32" s="241" t="n"/>
      <c r="Z32" s="241" t="n"/>
      <c r="AA32" s="256" t="n"/>
      <c r="AB32" s="19" t="n"/>
      <c r="AC32" s="19" t="n"/>
      <c r="AD32" s="19" t="n"/>
      <c r="AM32" s="28" t="inlineStr">
        <is>
          <t>PC3 / JG13</t>
        </is>
      </c>
      <c r="AN32" s="123" t="n">
        <v>0.59</v>
      </c>
    </row>
    <row r="33" ht="30" customHeight="1">
      <c r="A33" s="1" t="n">
        <v>14</v>
      </c>
      <c r="B33" s="126" t="n"/>
      <c r="C33" s="127" t="n"/>
      <c r="D33" s="4">
        <f>C33-B33</f>
        <v/>
      </c>
      <c r="E33" s="126" t="n"/>
      <c r="F33" s="150" t="n"/>
      <c r="G33" s="150" t="n"/>
      <c r="H33" s="150" t="n"/>
      <c r="I33" s="150" t="n"/>
      <c r="J33" s="150" t="n"/>
      <c r="K33" s="150" t="n"/>
      <c r="L33" s="150" t="n"/>
      <c r="M33" s="241" t="n"/>
      <c r="N33" s="241" t="n"/>
      <c r="O33" s="241" t="n"/>
      <c r="P33" s="256" t="n"/>
      <c r="Q33" s="151" t="n"/>
      <c r="R33" s="241" t="n"/>
      <c r="S33" s="241" t="n"/>
      <c r="T33" s="241" t="n"/>
      <c r="U33" s="241" t="n"/>
      <c r="V33" s="241" t="n"/>
      <c r="W33" s="241" t="n"/>
      <c r="X33" s="241" t="n"/>
      <c r="Y33" s="241" t="n"/>
      <c r="Z33" s="241" t="n"/>
      <c r="AA33" s="256" t="n"/>
      <c r="AB33" s="19" t="n"/>
      <c r="AC33" s="19" t="n"/>
      <c r="AD33" s="19" t="n"/>
      <c r="AM33" s="28" t="inlineStr">
        <is>
          <t>PC3 / JG14</t>
        </is>
      </c>
      <c r="AN33" s="123" t="n">
        <v>0.6</v>
      </c>
    </row>
    <row r="34" ht="30" customHeight="1">
      <c r="A34" s="1" t="n">
        <v>15</v>
      </c>
      <c r="B34" s="126" t="n">
        <v>2712</v>
      </c>
      <c r="C34" s="127" t="n">
        <v>2752</v>
      </c>
      <c r="D34" s="4">
        <f>C34-B34</f>
        <v/>
      </c>
      <c r="E34" s="126" t="n"/>
      <c r="F34" s="150" t="n"/>
      <c r="G34" s="150" t="n"/>
      <c r="H34" s="150" t="n"/>
      <c r="I34" s="150" t="n"/>
      <c r="J34" s="150" t="n"/>
      <c r="K34" s="150" t="n"/>
      <c r="L34" s="150" t="n"/>
      <c r="M34" s="241" t="n"/>
      <c r="N34" s="241" t="n"/>
      <c r="O34" s="241" t="n"/>
      <c r="P34" s="256" t="n"/>
      <c r="Q34" s="151" t="inlineStr">
        <is>
          <t>CKH TO TAMPIN TO REMBAU</t>
        </is>
      </c>
      <c r="R34" s="241" t="n"/>
      <c r="S34" s="241" t="n"/>
      <c r="T34" s="241" t="n"/>
      <c r="U34" s="241" t="n"/>
      <c r="V34" s="241" t="n"/>
      <c r="W34" s="241" t="n"/>
      <c r="X34" s="241" t="n"/>
      <c r="Y34" s="241" t="n"/>
      <c r="Z34" s="241" t="n"/>
      <c r="AA34" s="256" t="n"/>
      <c r="AB34" s="19" t="n"/>
      <c r="AC34" s="19" t="n"/>
      <c r="AD34" s="19" t="n"/>
      <c r="AM34" s="28" t="inlineStr">
        <is>
          <t>PC4 / JG15</t>
        </is>
      </c>
      <c r="AN34" s="111" t="n">
        <v>0.61</v>
      </c>
    </row>
    <row r="35" ht="30" customHeight="1">
      <c r="A35" s="1" t="n">
        <v>16</v>
      </c>
      <c r="B35" s="126" t="n">
        <v>2752</v>
      </c>
      <c r="C35" s="127" t="n">
        <v>2788</v>
      </c>
      <c r="D35" s="4">
        <f>C35-B35</f>
        <v/>
      </c>
      <c r="E35" s="126" t="n"/>
      <c r="F35" s="150" t="n"/>
      <c r="G35" s="150" t="n"/>
      <c r="H35" s="150" t="n"/>
      <c r="I35" s="150" t="n"/>
      <c r="J35" s="150" t="n"/>
      <c r="K35" s="150" t="n"/>
      <c r="L35" s="150" t="n"/>
      <c r="M35" s="241" t="n"/>
      <c r="N35" s="241" t="n"/>
      <c r="O35" s="241" t="n"/>
      <c r="P35" s="256" t="n"/>
      <c r="Q35" s="151" t="inlineStr">
        <is>
          <t>CKH TO KOTA TO CKH</t>
        </is>
      </c>
      <c r="R35" s="241" t="n"/>
      <c r="S35" s="241" t="n"/>
      <c r="T35" s="241" t="n"/>
      <c r="U35" s="241" t="n"/>
      <c r="V35" s="241" t="n"/>
      <c r="W35" s="241" t="n"/>
      <c r="X35" s="241" t="n"/>
      <c r="Y35" s="241" t="n"/>
      <c r="Z35" s="241" t="n"/>
      <c r="AA35" s="256" t="n"/>
      <c r="AB35" s="19" t="n"/>
      <c r="AC35" s="19" t="n"/>
      <c r="AD35" s="19" t="n"/>
      <c r="AM35" s="28" t="inlineStr">
        <is>
          <t>PC4 / JG16</t>
        </is>
      </c>
      <c r="AN35" s="123" t="n">
        <v>0.62</v>
      </c>
    </row>
    <row r="36" ht="30" customHeight="1">
      <c r="A36" s="1" t="n">
        <v>17</v>
      </c>
      <c r="B36" s="126" t="n"/>
      <c r="C36" s="127" t="n"/>
      <c r="D36" s="4">
        <f>C36-B36</f>
        <v/>
      </c>
      <c r="E36" s="126" t="n"/>
      <c r="F36" s="150" t="n"/>
      <c r="G36" s="150" t="n"/>
      <c r="H36" s="150" t="n"/>
      <c r="I36" s="150" t="n"/>
      <c r="J36" s="150" t="n"/>
      <c r="K36" s="150" t="n"/>
      <c r="L36" s="150" t="n"/>
      <c r="M36" s="241" t="n"/>
      <c r="N36" s="241" t="n"/>
      <c r="O36" s="241" t="n"/>
      <c r="P36" s="256" t="n"/>
      <c r="Q36" s="151" t="n"/>
      <c r="R36" s="241" t="n"/>
      <c r="S36" s="241" t="n"/>
      <c r="T36" s="241" t="n"/>
      <c r="U36" s="241" t="n"/>
      <c r="V36" s="241" t="n"/>
      <c r="W36" s="241" t="n"/>
      <c r="X36" s="241" t="n"/>
      <c r="Y36" s="241" t="n"/>
      <c r="Z36" s="241" t="n"/>
      <c r="AA36" s="256" t="n"/>
      <c r="AB36" s="19" t="n"/>
      <c r="AC36" s="19" t="n"/>
      <c r="AD36" s="19" t="n"/>
      <c r="AM36" s="20" t="inlineStr">
        <is>
          <t>PC5 / JG17</t>
        </is>
      </c>
      <c r="AN36" s="123" t="n">
        <v>0.63</v>
      </c>
    </row>
    <row r="37" ht="30" customHeight="1">
      <c r="A37" s="1" t="n">
        <v>18</v>
      </c>
      <c r="B37" s="126" t="n">
        <v>2788</v>
      </c>
      <c r="C37" s="127" t="n">
        <v>2938</v>
      </c>
      <c r="D37" s="4">
        <f>C37-B37</f>
        <v/>
      </c>
      <c r="E37" s="126" t="n"/>
      <c r="F37" s="150" t="n"/>
      <c r="G37" s="150" t="n">
        <v>11.73</v>
      </c>
      <c r="H37" s="150" t="n"/>
      <c r="I37" s="150" t="n"/>
      <c r="J37" s="150" t="n"/>
      <c r="K37" s="150" t="n"/>
      <c r="L37" s="150" t="n"/>
      <c r="M37" s="241" t="n"/>
      <c r="N37" s="241" t="n"/>
      <c r="O37" s="241" t="n"/>
      <c r="P37" s="256" t="n"/>
      <c r="Q37" s="151" t="inlineStr">
        <is>
          <t xml:space="preserve">CKH TO BRC 01 </t>
        </is>
      </c>
      <c r="R37" s="241" t="n"/>
      <c r="S37" s="241" t="n"/>
      <c r="T37" s="241" t="n"/>
      <c r="U37" s="241" t="n"/>
      <c r="V37" s="241" t="n"/>
      <c r="W37" s="241" t="n"/>
      <c r="X37" s="241" t="n"/>
      <c r="Y37" s="241" t="n"/>
      <c r="Z37" s="241" t="n"/>
      <c r="AA37" s="256" t="n"/>
      <c r="AB37" s="19" t="n"/>
      <c r="AC37" s="19" t="n"/>
      <c r="AD37" s="19" t="n"/>
      <c r="AM37" s="20" t="inlineStr">
        <is>
          <t>PC5 / JG18</t>
        </is>
      </c>
      <c r="AN37" s="111" t="n">
        <v>0.64</v>
      </c>
    </row>
    <row r="38" ht="30" customHeight="1">
      <c r="A38" s="1" t="n">
        <v>19</v>
      </c>
      <c r="B38" s="126" t="n">
        <v>2938</v>
      </c>
      <c r="C38" s="127" t="n">
        <v>3031</v>
      </c>
      <c r="D38" s="4">
        <f>C38-B38</f>
        <v/>
      </c>
      <c r="E38" s="126" t="n"/>
      <c r="F38" s="150" t="n"/>
      <c r="G38" s="150" t="n">
        <v>5.49</v>
      </c>
      <c r="H38" s="150" t="n"/>
      <c r="I38" s="150" t="n"/>
      <c r="J38" s="150" t="n"/>
      <c r="K38" s="150" t="n"/>
      <c r="L38" s="150" t="n"/>
      <c r="M38" s="241" t="n"/>
      <c r="N38" s="241" t="n"/>
      <c r="O38" s="241" t="n"/>
      <c r="P38" s="256" t="n"/>
      <c r="Q38" s="151" t="inlineStr">
        <is>
          <t>BRC 01 TO CKH</t>
        </is>
      </c>
      <c r="R38" s="241" t="n"/>
      <c r="S38" s="241" t="n"/>
      <c r="T38" s="241" t="n"/>
      <c r="U38" s="241" t="n"/>
      <c r="V38" s="241" t="n"/>
      <c r="W38" s="241" t="n"/>
      <c r="X38" s="241" t="n"/>
      <c r="Y38" s="241" t="n"/>
      <c r="Z38" s="241" t="n"/>
      <c r="AA38" s="256" t="n"/>
      <c r="AB38" s="19" t="n"/>
      <c r="AC38" s="19" t="n"/>
      <c r="AD38" s="19" t="n"/>
      <c r="AM38" s="20" t="inlineStr">
        <is>
          <t>PC6 / JG19</t>
        </is>
      </c>
      <c r="AN38" s="123" t="n">
        <v>0.65</v>
      </c>
    </row>
    <row r="39" ht="30" customHeight="1">
      <c r="A39" s="1" t="n">
        <v>20</v>
      </c>
      <c r="B39" s="126" t="n">
        <v>3031</v>
      </c>
      <c r="C39" s="127" t="n">
        <v>3180</v>
      </c>
      <c r="D39" s="4">
        <f>C39-B39</f>
        <v/>
      </c>
      <c r="E39" s="126" t="n"/>
      <c r="F39" s="150" t="n">
        <v>99.01000000000001</v>
      </c>
      <c r="G39" s="150" t="n">
        <v>10.98</v>
      </c>
      <c r="H39" s="150" t="n"/>
      <c r="I39" s="150" t="n"/>
      <c r="J39" s="150" t="n"/>
      <c r="K39" s="150" t="n"/>
      <c r="L39" s="150" t="n"/>
      <c r="M39" s="241" t="n"/>
      <c r="N39" s="241" t="n"/>
      <c r="O39" s="241" t="n"/>
      <c r="P39" s="256" t="n"/>
      <c r="Q39" s="151" t="inlineStr">
        <is>
          <t>CKH TO BRC 01 TO CKH</t>
        </is>
      </c>
      <c r="R39" s="241" t="n"/>
      <c r="S39" s="241" t="n"/>
      <c r="T39" s="241" t="n"/>
      <c r="U39" s="241" t="n"/>
      <c r="V39" s="241" t="n"/>
      <c r="W39" s="241" t="n"/>
      <c r="X39" s="241" t="n"/>
      <c r="Y39" s="241" t="n"/>
      <c r="Z39" s="241" t="n"/>
      <c r="AA39" s="256" t="n"/>
      <c r="AB39" s="19" t="n"/>
      <c r="AC39" s="19" t="n"/>
      <c r="AD39" s="19" t="n"/>
      <c r="AM39" s="20" t="inlineStr">
        <is>
          <t>PC6 / JG20</t>
        </is>
      </c>
      <c r="AN39" s="123" t="n">
        <v>0.66</v>
      </c>
    </row>
    <row r="40" ht="30" customHeight="1">
      <c r="A40" s="1" t="n">
        <v>21</v>
      </c>
      <c r="B40" s="126" t="n">
        <v>3180</v>
      </c>
      <c r="C40" s="127" t="n">
        <v>3200</v>
      </c>
      <c r="D40" s="4">
        <f>C40-B40</f>
        <v/>
      </c>
      <c r="E40" s="126" t="n"/>
      <c r="F40" s="150" t="n"/>
      <c r="G40" s="150" t="n"/>
      <c r="H40" s="150" t="n"/>
      <c r="I40" s="150" t="n"/>
      <c r="J40" s="150" t="n"/>
      <c r="K40" s="150" t="n"/>
      <c r="L40" s="150" t="n"/>
      <c r="M40" s="241" t="n"/>
      <c r="N40" s="241" t="n"/>
      <c r="O40" s="241" t="n"/>
      <c r="P40" s="256" t="n"/>
      <c r="Q40" s="151" t="inlineStr">
        <is>
          <t>CKH TO REMBAU</t>
        </is>
      </c>
      <c r="R40" s="241" t="n"/>
      <c r="S40" s="241" t="n"/>
      <c r="T40" s="241" t="n"/>
      <c r="U40" s="241" t="n"/>
      <c r="V40" s="241" t="n"/>
      <c r="W40" s="241" t="n"/>
      <c r="X40" s="241" t="n"/>
      <c r="Y40" s="241" t="n"/>
      <c r="Z40" s="241" t="n"/>
      <c r="AA40" s="256" t="n"/>
      <c r="AB40" s="19" t="n"/>
      <c r="AC40" s="19" t="n"/>
      <c r="AD40" s="19" t="n"/>
      <c r="AN40" s="111" t="n">
        <v>0.67</v>
      </c>
    </row>
    <row r="41" ht="30" customHeight="1">
      <c r="A41" s="1" t="n">
        <v>22</v>
      </c>
      <c r="B41" s="126" t="n">
        <v>3200</v>
      </c>
      <c r="C41" s="127" t="n">
        <v>3484</v>
      </c>
      <c r="D41" s="4">
        <f>C41-B41</f>
        <v/>
      </c>
      <c r="E41" s="126" t="n"/>
      <c r="F41" s="150" t="n">
        <v>58.34</v>
      </c>
      <c r="G41" s="150" t="n">
        <v>18.95</v>
      </c>
      <c r="H41" s="150" t="n"/>
      <c r="I41" s="150" t="n"/>
      <c r="J41" s="150" t="n"/>
      <c r="K41" s="150" t="n"/>
      <c r="L41" s="150" t="n"/>
      <c r="M41" s="241" t="n"/>
      <c r="N41" s="241" t="n"/>
      <c r="O41" s="241" t="n"/>
      <c r="P41" s="256" t="n"/>
      <c r="Q41" s="151" t="inlineStr">
        <is>
          <t>CKH TO COLUMBIA TO KLIA</t>
        </is>
      </c>
      <c r="R41" s="241" t="n"/>
      <c r="S41" s="241" t="n"/>
      <c r="T41" s="241" t="n"/>
      <c r="U41" s="241" t="n"/>
      <c r="V41" s="241" t="n"/>
      <c r="W41" s="241" t="n"/>
      <c r="X41" s="241" t="n"/>
      <c r="Y41" s="241" t="n"/>
      <c r="Z41" s="241" t="n"/>
      <c r="AA41" s="256" t="n"/>
      <c r="AB41" s="19" t="n"/>
      <c r="AC41" s="19" t="n"/>
      <c r="AD41" s="19" t="n"/>
      <c r="AN41" s="123" t="n">
        <v>0.68</v>
      </c>
    </row>
    <row r="42" ht="30" customHeight="1">
      <c r="A42" s="1" t="n">
        <v>23</v>
      </c>
      <c r="B42" s="126" t="n"/>
      <c r="C42" s="127" t="n"/>
      <c r="D42" s="4">
        <f>C42-B42</f>
        <v/>
      </c>
      <c r="E42" s="126" t="n"/>
      <c r="F42" s="150" t="n"/>
      <c r="G42" s="150" t="n"/>
      <c r="H42" s="150" t="n"/>
      <c r="I42" s="150" t="n"/>
      <c r="J42" s="150" t="n"/>
      <c r="K42" s="150" t="n"/>
      <c r="L42" s="150" t="n"/>
      <c r="M42" s="241" t="n"/>
      <c r="N42" s="241" t="n"/>
      <c r="O42" s="241" t="n"/>
      <c r="P42" s="256" t="n"/>
      <c r="Q42" s="151" t="n"/>
      <c r="R42" s="241" t="n"/>
      <c r="S42" s="241" t="n"/>
      <c r="T42" s="241" t="n"/>
      <c r="U42" s="241" t="n"/>
      <c r="V42" s="241" t="n"/>
      <c r="W42" s="241" t="n"/>
      <c r="X42" s="241" t="n"/>
      <c r="Y42" s="241" t="n"/>
      <c r="Z42" s="241" t="n"/>
      <c r="AA42" s="256" t="n"/>
      <c r="AB42" s="19" t="n"/>
      <c r="AC42" s="19" t="n"/>
      <c r="AD42" s="19" t="n"/>
      <c r="AN42" s="123" t="n">
        <v>0.6899999999999999</v>
      </c>
    </row>
    <row r="43" ht="30" customHeight="1">
      <c r="A43" s="1" t="n">
        <v>24</v>
      </c>
      <c r="B43" s="126" t="n">
        <v>3484</v>
      </c>
      <c r="C43" s="127" t="n">
        <v>3491</v>
      </c>
      <c r="D43" s="4">
        <f>C43-B43</f>
        <v/>
      </c>
      <c r="E43" s="126" t="n"/>
      <c r="F43" s="150" t="n"/>
      <c r="G43" s="150" t="n"/>
      <c r="H43" s="150" t="n"/>
      <c r="I43" s="150" t="n"/>
      <c r="J43" s="150" t="n"/>
      <c r="K43" s="150" t="n"/>
      <c r="L43" s="150" t="n"/>
      <c r="M43" s="241" t="n"/>
      <c r="N43" s="241" t="n"/>
      <c r="O43" s="241" t="n"/>
      <c r="P43" s="256" t="n"/>
      <c r="Q43" s="151" t="inlineStr">
        <is>
          <t>CKH TO KOTA</t>
        </is>
      </c>
      <c r="R43" s="241" t="n"/>
      <c r="S43" s="241" t="n"/>
      <c r="T43" s="241" t="n"/>
      <c r="U43" s="241" t="n"/>
      <c r="V43" s="241" t="n"/>
      <c r="W43" s="241" t="n"/>
      <c r="X43" s="241" t="n"/>
      <c r="Y43" s="241" t="n"/>
      <c r="Z43" s="241" t="n"/>
      <c r="AA43" s="256" t="n"/>
      <c r="AB43" s="19" t="n"/>
      <c r="AC43" s="19" t="n"/>
      <c r="AD43" s="19" t="n"/>
      <c r="AN43" s="111" t="n">
        <v>0.7</v>
      </c>
    </row>
    <row r="44" ht="30" customHeight="1">
      <c r="A44" s="1" t="n">
        <v>25</v>
      </c>
      <c r="B44" s="126" t="n"/>
      <c r="C44" s="127" t="n"/>
      <c r="D44" s="4">
        <f>C44-B44</f>
        <v/>
      </c>
      <c r="E44" s="126" t="n"/>
      <c r="F44" s="150" t="n"/>
      <c r="G44" s="150" t="n"/>
      <c r="H44" s="150" t="n"/>
      <c r="I44" s="150" t="n"/>
      <c r="J44" s="150" t="n"/>
      <c r="K44" s="150" t="n"/>
      <c r="L44" s="150" t="n"/>
      <c r="M44" s="241" t="n"/>
      <c r="N44" s="241" t="n"/>
      <c r="O44" s="241" t="n"/>
      <c r="P44" s="256" t="n"/>
      <c r="Q44" s="151" t="n"/>
      <c r="R44" s="241" t="n"/>
      <c r="S44" s="241" t="n"/>
      <c r="T44" s="241" t="n"/>
      <c r="U44" s="241" t="n"/>
      <c r="V44" s="241" t="n"/>
      <c r="W44" s="241" t="n"/>
      <c r="X44" s="241" t="n"/>
      <c r="Y44" s="241" t="n"/>
      <c r="Z44" s="241" t="n"/>
      <c r="AA44" s="256" t="n"/>
      <c r="AB44" s="19" t="n"/>
      <c r="AC44" s="19" t="n"/>
      <c r="AD44" s="19" t="n"/>
      <c r="AN44" s="123" t="n">
        <v>0.71</v>
      </c>
    </row>
    <row r="45" ht="30" customHeight="1">
      <c r="A45" s="1" t="n">
        <v>26</v>
      </c>
      <c r="B45" s="126" t="n">
        <v>3491</v>
      </c>
      <c r="C45" s="127" t="n">
        <v>3549</v>
      </c>
      <c r="D45" s="4">
        <f>C45-B45</f>
        <v/>
      </c>
      <c r="E45" s="126" t="n"/>
      <c r="F45" s="150" t="n"/>
      <c r="G45" s="150" t="n">
        <v>2.71</v>
      </c>
      <c r="H45" s="150" t="n"/>
      <c r="I45" s="150" t="n"/>
      <c r="J45" s="150" t="n"/>
      <c r="K45" s="150" t="n"/>
      <c r="L45" s="150" t="n"/>
      <c r="M45" s="241" t="n"/>
      <c r="N45" s="241" t="n"/>
      <c r="O45" s="241" t="n"/>
      <c r="P45" s="256" t="n"/>
      <c r="Q45" s="151" t="inlineStr">
        <is>
          <t>CKH TO SEREMBAN</t>
        </is>
      </c>
      <c r="R45" s="241" t="n"/>
      <c r="S45" s="241" t="n"/>
      <c r="T45" s="241" t="n"/>
      <c r="U45" s="241" t="n"/>
      <c r="V45" s="241" t="n"/>
      <c r="W45" s="241" t="n"/>
      <c r="X45" s="241" t="n"/>
      <c r="Y45" s="241" t="n"/>
      <c r="Z45" s="241" t="n"/>
      <c r="AA45" s="256" t="n"/>
      <c r="AB45" s="19" t="n"/>
      <c r="AC45" s="19" t="n"/>
      <c r="AD45" s="19" t="n"/>
      <c r="AN45" s="123" t="n">
        <v>0.72</v>
      </c>
    </row>
    <row r="46" ht="30" customHeight="1">
      <c r="A46" s="1" t="n">
        <v>27</v>
      </c>
      <c r="B46" s="126" t="n">
        <v>3549</v>
      </c>
      <c r="C46" s="127" t="n">
        <v>3581</v>
      </c>
      <c r="D46" s="4">
        <f>C46-B46</f>
        <v/>
      </c>
      <c r="E46" s="126" t="n"/>
      <c r="F46" s="150" t="n"/>
      <c r="G46" s="150" t="n"/>
      <c r="H46" s="150" t="n"/>
      <c r="I46" s="150" t="n"/>
      <c r="J46" s="150" t="n"/>
      <c r="K46" s="150" t="n"/>
      <c r="L46" s="150" t="n"/>
      <c r="M46" s="241" t="n"/>
      <c r="N46" s="241" t="n"/>
      <c r="O46" s="241" t="n"/>
      <c r="P46" s="256" t="n"/>
      <c r="Q46" s="151" t="inlineStr">
        <is>
          <t>CKH TO TAMPIN</t>
        </is>
      </c>
      <c r="R46" s="241" t="n"/>
      <c r="S46" s="241" t="n"/>
      <c r="T46" s="241" t="n"/>
      <c r="U46" s="241" t="n"/>
      <c r="V46" s="241" t="n"/>
      <c r="W46" s="241" t="n"/>
      <c r="X46" s="241" t="n"/>
      <c r="Y46" s="241" t="n"/>
      <c r="Z46" s="241" t="n"/>
      <c r="AA46" s="256" t="n"/>
      <c r="AB46" s="19" t="n"/>
      <c r="AC46" s="19" t="n"/>
      <c r="AD46" s="19" t="n"/>
    </row>
    <row r="47" ht="30" customHeight="1">
      <c r="A47" s="1" t="n">
        <v>28</v>
      </c>
      <c r="B47" s="126" t="n">
        <v>3581</v>
      </c>
      <c r="C47" s="127" t="n">
        <v>3800</v>
      </c>
      <c r="D47" s="4">
        <f>C47-B47</f>
        <v/>
      </c>
      <c r="E47" s="126" t="n"/>
      <c r="F47" s="150" t="n"/>
      <c r="G47" s="150" t="n">
        <v>16.24</v>
      </c>
      <c r="H47" s="150" t="n"/>
      <c r="I47" s="150" t="n"/>
      <c r="J47" s="150" t="n"/>
      <c r="K47" s="150" t="n"/>
      <c r="L47" s="150" t="n"/>
      <c r="M47" s="241" t="n"/>
      <c r="N47" s="241" t="n"/>
      <c r="O47" s="241" t="n"/>
      <c r="P47" s="256" t="n"/>
      <c r="Q47" s="151" t="inlineStr">
        <is>
          <t>CKH TO KLIA</t>
        </is>
      </c>
      <c r="R47" s="241" t="n"/>
      <c r="S47" s="241" t="n"/>
      <c r="T47" s="241" t="n"/>
      <c r="U47" s="241" t="n"/>
      <c r="V47" s="241" t="n"/>
      <c r="W47" s="241" t="n"/>
      <c r="X47" s="241" t="n"/>
      <c r="Y47" s="241" t="n"/>
      <c r="Z47" s="241" t="n"/>
      <c r="AA47" s="256" t="n"/>
      <c r="AB47" s="19" t="n"/>
      <c r="AC47" s="19" t="n"/>
      <c r="AD47" s="19" t="n"/>
    </row>
    <row r="48" ht="30" customHeight="1">
      <c r="A48" s="1" t="n">
        <v>29</v>
      </c>
      <c r="B48" s="126" t="n"/>
      <c r="C48" s="127" t="n"/>
      <c r="D48" s="4">
        <f>C48-B48</f>
        <v/>
      </c>
      <c r="E48" s="126" t="n"/>
      <c r="F48" s="150" t="n"/>
      <c r="G48" s="150" t="n"/>
      <c r="H48" s="150" t="n"/>
      <c r="I48" s="150" t="n"/>
      <c r="J48" s="150" t="n"/>
      <c r="K48" s="150" t="n"/>
      <c r="L48" s="150" t="n"/>
      <c r="M48" s="241" t="n"/>
      <c r="N48" s="241" t="n"/>
      <c r="O48" s="241" t="n"/>
      <c r="P48" s="256" t="n"/>
      <c r="Q48" s="151" t="n"/>
      <c r="R48" s="241" t="n"/>
      <c r="S48" s="241" t="n"/>
      <c r="T48" s="241" t="n"/>
      <c r="U48" s="241" t="n"/>
      <c r="V48" s="241" t="n"/>
      <c r="W48" s="241" t="n"/>
      <c r="X48" s="241" t="n"/>
      <c r="Y48" s="241" t="n"/>
      <c r="Z48" s="241" t="n"/>
      <c r="AA48" s="256" t="n"/>
      <c r="AB48" s="19" t="n"/>
      <c r="AC48" s="19" t="n"/>
      <c r="AD48" s="19" t="n"/>
    </row>
    <row r="49" ht="30" customHeight="1">
      <c r="A49" s="1" t="n">
        <v>30</v>
      </c>
      <c r="B49" s="126" t="n"/>
      <c r="C49" s="127" t="n"/>
      <c r="D49" s="4">
        <f>C49-B49</f>
        <v/>
      </c>
      <c r="E49" s="126" t="n"/>
      <c r="F49" s="150" t="n"/>
      <c r="G49" s="150" t="n"/>
      <c r="H49" s="150" t="n"/>
      <c r="I49" s="150" t="n"/>
      <c r="J49" s="150" t="n"/>
      <c r="K49" s="150" t="n"/>
      <c r="L49" s="150" t="n"/>
      <c r="M49" s="241" t="n"/>
      <c r="N49" s="241" t="n"/>
      <c r="O49" s="241" t="n"/>
      <c r="P49" s="256" t="n"/>
      <c r="Q49" s="151" t="n"/>
      <c r="R49" s="241" t="n"/>
      <c r="S49" s="241" t="n"/>
      <c r="T49" s="241" t="n"/>
      <c r="U49" s="241" t="n"/>
      <c r="V49" s="241" t="n"/>
      <c r="W49" s="241" t="n"/>
      <c r="X49" s="241" t="n"/>
      <c r="Y49" s="241" t="n"/>
      <c r="Z49" s="241" t="n"/>
      <c r="AA49" s="256" t="n"/>
      <c r="AB49" s="19" t="n"/>
      <c r="AC49" s="19" t="n"/>
      <c r="AD49" s="19" t="n"/>
    </row>
    <row r="50" ht="30" customHeight="1">
      <c r="A50" s="1" t="n">
        <v>31</v>
      </c>
      <c r="B50" s="126" t="n"/>
      <c r="C50" s="127" t="n"/>
      <c r="D50" s="4">
        <f>C50-B50</f>
        <v/>
      </c>
      <c r="E50" s="126" t="n"/>
      <c r="F50" s="150" t="n"/>
      <c r="G50" s="150" t="n"/>
      <c r="H50" s="150" t="n"/>
      <c r="I50" s="150" t="n"/>
      <c r="J50" s="150" t="n"/>
      <c r="K50" s="150" t="n"/>
      <c r="L50" s="150" t="n"/>
      <c r="M50" s="241" t="n"/>
      <c r="N50" s="241" t="n"/>
      <c r="O50" s="241" t="n"/>
      <c r="P50" s="256" t="n"/>
      <c r="Q50" s="151" t="n"/>
      <c r="R50" s="241" t="n"/>
      <c r="S50" s="241" t="n"/>
      <c r="T50" s="241" t="n"/>
      <c r="U50" s="241" t="n"/>
      <c r="V50" s="241" t="n"/>
      <c r="W50" s="241" t="n"/>
      <c r="X50" s="241" t="n"/>
      <c r="Y50" s="241" t="n"/>
      <c r="Z50" s="241" t="n"/>
      <c r="AA50" s="256" t="n"/>
      <c r="AB50" s="19" t="n"/>
      <c r="AC50" s="19" t="n"/>
      <c r="AD50" s="19" t="n"/>
    </row>
    <row r="51" ht="30" customFormat="1" customHeight="1" s="22">
      <c r="A51" s="258" t="inlineStr">
        <is>
          <t>TOTAL</t>
        </is>
      </c>
      <c r="B51" s="248" t="n"/>
      <c r="C51" s="249" t="n"/>
      <c r="D51" s="6">
        <f>SUM(D20:D50)</f>
        <v/>
      </c>
      <c r="E51" s="6">
        <f>SUM(E20:E50)</f>
        <v/>
      </c>
      <c r="F51" s="3">
        <f>SUM(F20:F50)</f>
        <v/>
      </c>
      <c r="G51" s="3">
        <f>SUM(G20:G50)</f>
        <v/>
      </c>
      <c r="H51" s="155">
        <f>SUM(H20:H50)</f>
        <v/>
      </c>
      <c r="I51" s="155">
        <f>SUM(I20:I50)</f>
        <v/>
      </c>
      <c r="J51" s="155">
        <f>SUM(J20:J50)</f>
        <v/>
      </c>
      <c r="K51" s="155">
        <f>SUM(K20:K50)</f>
        <v/>
      </c>
      <c r="L51" s="155">
        <f>SUM(L20:P50)</f>
        <v/>
      </c>
      <c r="M51" s="248" t="n"/>
      <c r="N51" s="248" t="n"/>
      <c r="O51" s="248" t="n"/>
      <c r="P51" s="249" t="n"/>
      <c r="Q51" s="156" t="n"/>
      <c r="R51" s="248" t="n"/>
      <c r="S51" s="248" t="n"/>
      <c r="T51" s="248" t="n"/>
      <c r="U51" s="248" t="n"/>
      <c r="V51" s="248" t="n"/>
      <c r="W51" s="248" t="n"/>
      <c r="X51" s="248" t="n"/>
      <c r="Y51" s="248" t="n"/>
      <c r="Z51" s="248" t="n"/>
      <c r="AA51" s="249" t="n"/>
      <c r="AB51" s="13" t="n"/>
      <c r="AC51" s="13" t="n"/>
      <c r="AD51" s="13" t="n"/>
    </row>
    <row r="52" ht="11.25" customHeight="1">
      <c r="A52" s="66" t="n"/>
      <c r="B52" s="67" t="n"/>
      <c r="C52" s="68" t="n"/>
      <c r="D52" s="69" t="n"/>
      <c r="E52" s="259" t="n"/>
      <c r="F52" s="58" t="n"/>
      <c r="G52" s="71" t="n"/>
      <c r="H52" s="260" t="n"/>
      <c r="I52" s="260" t="n"/>
      <c r="J52" s="260" t="n"/>
      <c r="K52" s="260" t="n"/>
      <c r="L52" s="59" t="n"/>
      <c r="M52" s="59" t="n"/>
      <c r="N52" s="59" t="n"/>
      <c r="O52" s="59" t="n"/>
      <c r="P52" s="59" t="n"/>
      <c r="Q52" s="59" t="n"/>
      <c r="R52" s="59" t="n"/>
      <c r="S52" s="59" t="n"/>
      <c r="T52" s="59" t="n"/>
      <c r="U52" s="59" t="n"/>
      <c r="V52" s="59" t="n"/>
      <c r="W52" s="59" t="n"/>
      <c r="X52" s="59" t="n"/>
      <c r="Y52" s="59" t="n"/>
      <c r="Z52" s="59" t="n"/>
      <c r="AA52" s="60" t="n"/>
      <c r="AB52" s="23" t="n"/>
      <c r="AC52" s="23" t="n"/>
      <c r="AD52" s="23" t="n"/>
    </row>
    <row r="53" ht="16.5" customHeight="1">
      <c r="A53" s="72" t="inlineStr">
        <is>
          <t>COST PER KM*</t>
        </is>
      </c>
      <c r="B53" s="73" t="n"/>
      <c r="C53" s="73" t="inlineStr">
        <is>
          <t>RM</t>
        </is>
      </c>
      <c r="D53" s="261">
        <f>IFERROR(IF(J13="MOTORCYCLE", X13,IF(J13="PRIVATE CAR (NO ALLOWANCE)", X13,IF(J13="PRIVATE CAR (WITH ALLOWANCE - PETROL)", MIN(F51/D51, 0.2),IF(J13="PRIVATE CAR (WITH ALLOWANCE - DIESEL)", MIN(F51/D51, 0.22),IF(J13="PRIVATE CAR (WITH ALLOWANCE - ELECTRIC)", MIN(F51/D51, 0.2),IF(J13="COMPANY CAR", MIN(F51/D51, 0.2),MIN(F51/D51, 0.2))))))),"0.00")</f>
        <v/>
      </c>
      <c r="E53" s="262" t="n"/>
      <c r="F53" s="263" t="inlineStr">
        <is>
          <t>REQUESTED BY</t>
        </is>
      </c>
      <c r="G53" s="230" t="n"/>
      <c r="H53" s="232" t="n"/>
      <c r="I53" s="264" t="inlineStr">
        <is>
          <t>APPROVED BY HOD / BU HEAD
(DGM above)</t>
        </is>
      </c>
      <c r="J53" s="230" t="n"/>
      <c r="K53" s="230" t="n"/>
      <c r="L53" s="230" t="n"/>
      <c r="M53" s="230" t="n"/>
      <c r="N53" s="230" t="n"/>
      <c r="O53" s="232" t="n"/>
      <c r="P53" s="264" t="inlineStr">
        <is>
          <t>REVIEWED BY HR</t>
        </is>
      </c>
      <c r="Q53" s="230" t="n"/>
      <c r="R53" s="230" t="n"/>
      <c r="S53" s="230" t="n"/>
      <c r="T53" s="230" t="n"/>
      <c r="U53" s="230" t="n"/>
      <c r="V53" s="230" t="n"/>
      <c r="W53" s="230" t="n"/>
      <c r="X53" s="230" t="n"/>
      <c r="Y53" s="230" t="n"/>
      <c r="Z53" s="230" t="n"/>
      <c r="AA53" s="232" t="n"/>
      <c r="AB53" s="23" t="n"/>
      <c r="AC53" s="23" t="n"/>
      <c r="AD53" s="23" t="n"/>
    </row>
    <row r="54" ht="11.25" customHeight="1">
      <c r="A54" s="72" t="n"/>
      <c r="B54" s="2" t="n"/>
      <c r="C54" s="2" t="n"/>
      <c r="D54" s="25" t="n"/>
      <c r="E54" s="265" t="n"/>
      <c r="F54" s="233" t="n"/>
      <c r="H54" s="234" t="n"/>
      <c r="I54" s="233" t="n"/>
      <c r="O54" s="234" t="n"/>
      <c r="P54" s="233" t="n"/>
      <c r="AA54" s="234" t="n"/>
      <c r="AB54" s="23" t="n"/>
      <c r="AC54" s="23" t="n"/>
      <c r="AD54" s="23" t="n"/>
    </row>
    <row r="55" ht="16.5" customHeight="1">
      <c r="A55" s="74" t="inlineStr">
        <is>
          <t>DETAILS OF CLAIM</t>
        </is>
      </c>
      <c r="B55" s="73" t="n"/>
      <c r="C55" s="73" t="n"/>
      <c r="D55" s="75" t="n"/>
      <c r="E55" s="265" t="n"/>
      <c r="F55" s="235" t="n"/>
      <c r="G55" s="236" t="n"/>
      <c r="H55" s="237" t="n"/>
      <c r="I55" s="235" t="n"/>
      <c r="J55" s="236" t="n"/>
      <c r="K55" s="236" t="n"/>
      <c r="L55" s="236" t="n"/>
      <c r="M55" s="236" t="n"/>
      <c r="N55" s="236" t="n"/>
      <c r="O55" s="237" t="n"/>
      <c r="P55" s="235" t="n"/>
      <c r="Q55" s="236" t="n"/>
      <c r="R55" s="236" t="n"/>
      <c r="S55" s="236" t="n"/>
      <c r="T55" s="236" t="n"/>
      <c r="U55" s="236" t="n"/>
      <c r="V55" s="236" t="n"/>
      <c r="W55" s="236" t="n"/>
      <c r="X55" s="236" t="n"/>
      <c r="Y55" s="236" t="n"/>
      <c r="Z55" s="236" t="n"/>
      <c r="AA55" s="237" t="n"/>
      <c r="AB55" s="23" t="n"/>
      <c r="AC55" s="23" t="n"/>
      <c r="AD55" s="23" t="n"/>
    </row>
    <row r="56" ht="16.5" customHeight="1">
      <c r="A56" s="76" t="inlineStr">
        <is>
          <t>PETROL/DIESEL</t>
        </is>
      </c>
      <c r="B56" s="77" t="n"/>
      <c r="C56" s="73" t="inlineStr">
        <is>
          <t>RM</t>
        </is>
      </c>
      <c r="D56" s="78">
        <f>IFERROR(IF(J13="MOTORCYCLE", D51*D53,IF(J13="PRIVATE CAR (NO ALLOWANCE)", D51*D53,D51*D53)),"0.00")</f>
        <v/>
      </c>
      <c r="E56" s="100" t="n"/>
      <c r="F56" s="104" t="n"/>
      <c r="G56" s="100" t="n"/>
      <c r="H56" s="103" t="n"/>
      <c r="I56" s="266" t="n"/>
      <c r="O56" s="234" t="n"/>
      <c r="P56" s="267" t="n"/>
      <c r="AA56" s="234" t="n"/>
      <c r="AB56" s="23" t="n"/>
      <c r="AC56" s="23" t="n"/>
      <c r="AD56" s="23" t="n"/>
    </row>
    <row r="57" ht="16.5" customHeight="1">
      <c r="A57" s="76" t="inlineStr">
        <is>
          <t>TOLL</t>
        </is>
      </c>
      <c r="B57" s="77" t="n"/>
      <c r="C57" s="73" t="inlineStr">
        <is>
          <t>RM</t>
        </is>
      </c>
      <c r="D57" s="78">
        <f>G51</f>
        <v/>
      </c>
      <c r="E57" s="97" t="n"/>
      <c r="F57" s="96" t="n"/>
      <c r="G57" s="97" t="n"/>
      <c r="H57" s="98" t="n"/>
      <c r="I57" s="233" t="n"/>
      <c r="O57" s="234" t="n"/>
      <c r="P57" s="233" t="n"/>
      <c r="AA57" s="234" t="n"/>
      <c r="AB57" s="23" t="n"/>
      <c r="AC57" s="23" t="n"/>
      <c r="AD57" s="23" t="n"/>
    </row>
    <row r="58" ht="16.5" customHeight="1">
      <c r="A58" s="76" t="inlineStr">
        <is>
          <t>PARKING</t>
        </is>
      </c>
      <c r="B58" s="77" t="n"/>
      <c r="C58" s="73" t="inlineStr">
        <is>
          <t>RM</t>
        </is>
      </c>
      <c r="D58" s="78">
        <f>H51</f>
        <v/>
      </c>
      <c r="E58" s="97" t="n"/>
      <c r="F58" s="96" t="n"/>
      <c r="G58" s="97" t="n"/>
      <c r="H58" s="98" t="n"/>
      <c r="I58" s="233" t="n"/>
      <c r="O58" s="234" t="n"/>
      <c r="P58" s="233" t="n"/>
      <c r="AA58" s="234" t="n"/>
      <c r="AB58" s="23" t="n"/>
      <c r="AC58" s="23" t="n"/>
      <c r="AD58" s="23" t="n"/>
    </row>
    <row r="59" ht="16.5" customHeight="1">
      <c r="A59" s="72" t="inlineStr">
        <is>
          <t>AIR FARE</t>
        </is>
      </c>
      <c r="B59" s="77" t="n"/>
      <c r="C59" s="73" t="inlineStr">
        <is>
          <t>RM</t>
        </is>
      </c>
      <c r="D59" s="78">
        <f>I51</f>
        <v/>
      </c>
      <c r="E59" s="97" t="n"/>
      <c r="F59" s="96" t="n"/>
      <c r="G59" s="97" t="n"/>
      <c r="H59" s="98" t="n"/>
      <c r="I59" s="233" t="n"/>
      <c r="O59" s="234" t="n"/>
      <c r="P59" s="233" t="n"/>
      <c r="AA59" s="234" t="n"/>
      <c r="AB59" s="23" t="n"/>
      <c r="AC59" s="23" t="n"/>
      <c r="AD59" s="23" t="n"/>
    </row>
    <row r="60" ht="16.5" customHeight="1">
      <c r="A60" s="72" t="inlineStr">
        <is>
          <t>ACCOMMODATION</t>
        </is>
      </c>
      <c r="C60" s="73" t="inlineStr">
        <is>
          <t>RM</t>
        </is>
      </c>
      <c r="D60" s="79">
        <f>J51</f>
        <v/>
      </c>
      <c r="E60" s="97" t="n"/>
      <c r="F60" s="96" t="n"/>
      <c r="G60" s="97" t="n"/>
      <c r="H60" s="98" t="n"/>
      <c r="I60" s="233" t="n"/>
      <c r="O60" s="234" t="n"/>
      <c r="P60" s="233" t="n"/>
      <c r="AA60" s="234" t="n"/>
      <c r="AB60" s="23" t="n"/>
      <c r="AC60" s="23" t="n"/>
      <c r="AD60" s="23" t="n"/>
    </row>
    <row r="61" ht="16.5" customHeight="1">
      <c r="A61" s="72" t="inlineStr">
        <is>
          <t>OUTSTATION ALLOW.</t>
        </is>
      </c>
      <c r="C61" s="73" t="inlineStr">
        <is>
          <t>RM</t>
        </is>
      </c>
      <c r="D61" s="79">
        <f>K51</f>
        <v/>
      </c>
      <c r="E61" s="97" t="n"/>
      <c r="F61" s="96" t="n"/>
      <c r="G61" s="97" t="n"/>
      <c r="H61" s="98" t="n"/>
      <c r="I61" s="132" t="n"/>
      <c r="J61" s="133" t="n"/>
      <c r="K61" s="133" t="n"/>
      <c r="L61" s="133" t="n"/>
      <c r="M61" s="133" t="n"/>
      <c r="N61" s="133" t="n"/>
      <c r="O61" s="134" t="n"/>
      <c r="P61" s="135" t="n"/>
      <c r="Q61" s="136" t="n"/>
      <c r="R61" s="136" t="n"/>
      <c r="S61" s="136" t="n"/>
      <c r="T61" s="136" t="n"/>
      <c r="U61" s="136" t="n"/>
      <c r="V61" s="136" t="n"/>
      <c r="W61" s="136" t="n"/>
      <c r="X61" s="136" t="n"/>
      <c r="Y61" s="136" t="n"/>
      <c r="Z61" s="136" t="n"/>
      <c r="AA61" s="137" t="n"/>
      <c r="AB61" s="23" t="n"/>
      <c r="AC61" s="23" t="n"/>
      <c r="AD61" s="23" t="n"/>
    </row>
    <row r="62" ht="16.5" customHeight="1">
      <c r="A62" s="72" t="inlineStr">
        <is>
          <t>TRANSPORTATION</t>
        </is>
      </c>
      <c r="B62" s="77" t="n"/>
      <c r="C62" s="73" t="inlineStr">
        <is>
          <t>RM</t>
        </is>
      </c>
      <c r="D62" s="78">
        <f>L51</f>
        <v/>
      </c>
      <c r="E62" s="101" t="n"/>
      <c r="F62" s="268" t="inlineStr">
        <is>
          <t>Name: MR YUDTHAKARN KUSAENKHOT</t>
        </is>
      </c>
      <c r="G62" s="269" t="n"/>
      <c r="H62" s="270" t="n"/>
      <c r="I62" s="268" t="inlineStr">
        <is>
          <t>Name:</t>
        </is>
      </c>
      <c r="J62" s="269" t="n"/>
      <c r="K62" s="269" t="n"/>
      <c r="L62" s="269" t="n"/>
      <c r="M62" s="269" t="n"/>
      <c r="N62" s="269" t="n"/>
      <c r="O62" s="270" t="n"/>
      <c r="P62" s="271" t="inlineStr">
        <is>
          <t>Name:</t>
        </is>
      </c>
      <c r="Q62" s="269" t="n"/>
      <c r="R62" s="269" t="n"/>
      <c r="S62" s="269" t="n"/>
      <c r="T62" s="269" t="n"/>
      <c r="U62" s="269" t="n"/>
      <c r="V62" s="269" t="n"/>
      <c r="W62" s="269" t="n"/>
      <c r="X62" s="269" t="n"/>
      <c r="Y62" s="269" t="n"/>
      <c r="Z62" s="269" t="n"/>
      <c r="AA62" s="270" t="n"/>
      <c r="AB62" s="23" t="n"/>
      <c r="AC62" s="23" t="n"/>
      <c r="AD62" s="23" t="n"/>
    </row>
    <row r="63" ht="16.5" customHeight="1">
      <c r="A63" s="72" t="inlineStr">
        <is>
          <t xml:space="preserve">GRAND TOTAL </t>
        </is>
      </c>
      <c r="B63" s="73" t="n"/>
      <c r="C63" s="73" t="inlineStr">
        <is>
          <t>RM</t>
        </is>
      </c>
      <c r="D63" s="79">
        <f>SUM(D56:D62)</f>
        <v/>
      </c>
      <c r="E63" s="101" t="n"/>
      <c r="F63" s="272" t="inlineStr">
        <is>
          <t>Date: 9/3/2026</t>
        </is>
      </c>
      <c r="G63" s="239" t="n"/>
      <c r="H63" s="273" t="n"/>
      <c r="I63" s="272" t="inlineStr">
        <is>
          <t>Date:</t>
        </is>
      </c>
      <c r="J63" s="239" t="n"/>
      <c r="K63" s="239" t="n"/>
      <c r="L63" s="239" t="n"/>
      <c r="M63" s="239" t="n"/>
      <c r="N63" s="239" t="n"/>
      <c r="O63" s="273" t="n"/>
      <c r="P63" s="274" t="inlineStr">
        <is>
          <t>Date:</t>
        </is>
      </c>
      <c r="Q63" s="239" t="n"/>
      <c r="R63" s="239" t="n"/>
      <c r="S63" s="239" t="n"/>
      <c r="T63" s="239" t="n"/>
      <c r="U63" s="239" t="n"/>
      <c r="V63" s="239" t="n"/>
      <c r="W63" s="239" t="n"/>
      <c r="X63" s="239" t="n"/>
      <c r="Y63" s="239" t="n"/>
      <c r="Z63" s="239" t="n"/>
      <c r="AA63" s="273" t="n"/>
      <c r="AB63" s="23" t="n"/>
      <c r="AC63" s="23" t="n"/>
      <c r="AD63" s="23" t="n"/>
    </row>
    <row r="64" ht="16.5" customHeight="1">
      <c r="A64" s="80" t="inlineStr">
        <is>
          <t>Less : Personal Use</t>
        </is>
      </c>
      <c r="B64" s="2" t="n"/>
      <c r="C64" s="73" t="inlineStr">
        <is>
          <t>RM</t>
        </is>
      </c>
      <c r="D64" s="79">
        <f>IFERROR(SUM(E51*D53),"0.00")</f>
        <v/>
      </c>
      <c r="E64" s="129" t="n"/>
      <c r="H64" s="129" t="n"/>
      <c r="K64" s="129" t="n"/>
      <c r="L64" s="129" t="n"/>
      <c r="Y64" s="129" t="n"/>
      <c r="Z64" s="129" t="n"/>
      <c r="AA64" s="82" t="n"/>
      <c r="AB64" s="23" t="n"/>
      <c r="AC64" s="23" t="n"/>
      <c r="AD64" s="23" t="n"/>
    </row>
    <row r="65" ht="16.5" customHeight="1">
      <c r="A65" s="14" t="inlineStr">
        <is>
          <t>ACTUAL CLAIMED</t>
        </is>
      </c>
      <c r="B65" s="15" t="n"/>
      <c r="C65" s="16" t="inlineStr">
        <is>
          <t>RM</t>
        </is>
      </c>
      <c r="D65" s="24">
        <f>SUM(D63-D64)</f>
        <v/>
      </c>
      <c r="AA65" s="83" t="n"/>
      <c r="AB65" s="23" t="n"/>
      <c r="AC65" s="23" t="n"/>
      <c r="AD65" s="23" t="n"/>
    </row>
    <row r="66" ht="11.25" customHeight="1">
      <c r="A66" s="31" t="n"/>
      <c r="B66" s="32" t="n"/>
      <c r="C66" s="32" t="n"/>
      <c r="D66" s="32" t="n"/>
      <c r="E66" s="130" t="n"/>
      <c r="F66" s="236" t="n"/>
      <c r="G66" s="236" t="n"/>
      <c r="H66" s="131" t="n"/>
      <c r="I66" s="236" t="n"/>
      <c r="J66" s="236" t="n"/>
      <c r="K66" s="131" t="n"/>
      <c r="L66" s="130" t="n"/>
      <c r="M66" s="236" t="n"/>
      <c r="N66" s="236" t="n"/>
      <c r="O66" s="236" t="n"/>
      <c r="P66" s="236" t="n"/>
      <c r="Q66" s="236" t="n"/>
      <c r="R66" s="236" t="n"/>
      <c r="S66" s="236" t="n"/>
      <c r="T66" s="236" t="n"/>
      <c r="U66" s="236" t="n"/>
      <c r="V66" s="236" t="n"/>
      <c r="W66" s="236" t="n"/>
      <c r="X66" s="236" t="n"/>
      <c r="Y66" s="130" t="n"/>
      <c r="Z66" s="130" t="n"/>
      <c r="AA66" s="34" t="n"/>
      <c r="AB66" s="23" t="n"/>
      <c r="AC66" s="23" t="n"/>
      <c r="AD66" s="23" t="n"/>
    </row>
    <row r="67" ht="18" customFormat="1" customHeight="1" s="84">
      <c r="A67" s="128" t="inlineStr">
        <is>
          <t>Document No.: Travelling_Claim_Form_20251001_v.14</t>
        </is>
      </c>
      <c r="Y67" s="128" t="n"/>
      <c r="Z67" s="128" t="n"/>
      <c r="AA67" s="128" t="n"/>
    </row>
    <row r="68" ht="20.25" customHeight="1">
      <c r="A68" s="20" t="n"/>
    </row>
  </sheetData>
  <mergeCells count="113">
    <mergeCell ref="P56:AA60"/>
    <mergeCell ref="Q21:AA21"/>
    <mergeCell ref="L16:P16"/>
    <mergeCell ref="J13:Q13"/>
    <mergeCell ref="L43:P43"/>
    <mergeCell ref="A7:B7"/>
    <mergeCell ref="H66:J66"/>
    <mergeCell ref="L33:P33"/>
    <mergeCell ref="Q51:AA51"/>
    <mergeCell ref="L42:P42"/>
    <mergeCell ref="I17:I18"/>
    <mergeCell ref="A5:X5"/>
    <mergeCell ref="Q26:AA26"/>
    <mergeCell ref="P53:AA55"/>
    <mergeCell ref="Q35:AA35"/>
    <mergeCell ref="L35:P35"/>
    <mergeCell ref="Q50:AA50"/>
    <mergeCell ref="L20:P20"/>
    <mergeCell ref="P62:AA62"/>
    <mergeCell ref="Q34:AA34"/>
    <mergeCell ref="L25:P25"/>
    <mergeCell ref="Q49:AA49"/>
    <mergeCell ref="Q27:AA27"/>
    <mergeCell ref="A67:X67"/>
    <mergeCell ref="Q36:AA36"/>
    <mergeCell ref="C7:G7"/>
    <mergeCell ref="Q30:AA30"/>
    <mergeCell ref="L46:P46"/>
    <mergeCell ref="I56:O60"/>
    <mergeCell ref="X13:Z13"/>
    <mergeCell ref="A9:B9"/>
    <mergeCell ref="H64:J64"/>
    <mergeCell ref="Q17:AA19"/>
    <mergeCell ref="L48:P48"/>
    <mergeCell ref="Q16:X16"/>
    <mergeCell ref="L32:P32"/>
    <mergeCell ref="Q37:AA37"/>
    <mergeCell ref="L47:P47"/>
    <mergeCell ref="Q39:AA39"/>
    <mergeCell ref="H17:H18"/>
    <mergeCell ref="Q29:AA29"/>
    <mergeCell ref="L24:P24"/>
    <mergeCell ref="Q38:AA38"/>
    <mergeCell ref="Q31:AA31"/>
    <mergeCell ref="L26:P26"/>
    <mergeCell ref="C12:G12"/>
    <mergeCell ref="Q40:AA40"/>
    <mergeCell ref="K17:K18"/>
    <mergeCell ref="L66:X66"/>
    <mergeCell ref="L17:P18"/>
    <mergeCell ref="L50:P50"/>
    <mergeCell ref="A8:B8"/>
    <mergeCell ref="A51:C51"/>
    <mergeCell ref="L34:P34"/>
    <mergeCell ref="I1:AA4"/>
    <mergeCell ref="I53:O55"/>
    <mergeCell ref="L49:P49"/>
    <mergeCell ref="L36:P36"/>
    <mergeCell ref="I62:O62"/>
    <mergeCell ref="A17:A19"/>
    <mergeCell ref="C9:E9"/>
    <mergeCell ref="Q28:AA28"/>
    <mergeCell ref="L28:P28"/>
    <mergeCell ref="Q42:AA42"/>
    <mergeCell ref="L37:P37"/>
    <mergeCell ref="I63:O63"/>
    <mergeCell ref="C10:G10"/>
    <mergeCell ref="F17:F18"/>
    <mergeCell ref="Q20:AA20"/>
    <mergeCell ref="Q23:AA23"/>
    <mergeCell ref="L23:P23"/>
    <mergeCell ref="L51:P51"/>
    <mergeCell ref="C11:G11"/>
    <mergeCell ref="Q46:AA46"/>
    <mergeCell ref="L41:P41"/>
    <mergeCell ref="F63:H63"/>
    <mergeCell ref="Q48:AA48"/>
    <mergeCell ref="F53:H55"/>
    <mergeCell ref="Q45:AA45"/>
    <mergeCell ref="E64:G64"/>
    <mergeCell ref="Q32:AA32"/>
    <mergeCell ref="L27:P27"/>
    <mergeCell ref="Q41:AA41"/>
    <mergeCell ref="Q47:AA47"/>
    <mergeCell ref="G17:G18"/>
    <mergeCell ref="Q25:AA25"/>
    <mergeCell ref="Q43:AA43"/>
    <mergeCell ref="Q24:AA24"/>
    <mergeCell ref="F62:H62"/>
    <mergeCell ref="L19:P19"/>
    <mergeCell ref="Q33:AA33"/>
    <mergeCell ref="L39:P39"/>
    <mergeCell ref="L45:P45"/>
    <mergeCell ref="L30:P30"/>
    <mergeCell ref="E17:E19"/>
    <mergeCell ref="E66:G66"/>
    <mergeCell ref="L29:P29"/>
    <mergeCell ref="L38:P38"/>
    <mergeCell ref="D17:D19"/>
    <mergeCell ref="Q44:AA44"/>
    <mergeCell ref="L44:P44"/>
    <mergeCell ref="Q22:AA22"/>
    <mergeCell ref="L22:P22"/>
    <mergeCell ref="C8:G8"/>
    <mergeCell ref="L31:P31"/>
    <mergeCell ref="L40:P40"/>
    <mergeCell ref="J17:J18"/>
    <mergeCell ref="B17:C18"/>
    <mergeCell ref="A15:AA15"/>
    <mergeCell ref="P63:AA63"/>
    <mergeCell ref="L21:P21"/>
    <mergeCell ref="A1:H4"/>
    <mergeCell ref="L64:X64"/>
  </mergeCells>
  <dataValidations count="3">
    <dataValidation sqref="G9" showDropDown="0" showInputMessage="1" showErrorMessage="1" allowBlank="1" type="list">
      <formula1>$AM$20:$AM$39</formula1>
    </dataValidation>
    <dataValidation sqref="J13" showDropDown="0" showInputMessage="1" showErrorMessage="1" allowBlank="1" type="list">
      <formula1>$AJ$20:$AJ$25</formula1>
    </dataValidation>
    <dataValidation sqref="X13" showDropDown="0" showInputMessage="1" showErrorMessage="1" allowBlank="1" type="list">
      <formula1>$AN$20:$AN$45</formula1>
    </dataValidation>
  </dataValidations>
  <pageMargins left="0.4330708661417323" right="0.2362204724409449" top="0.7480314960629921" bottom="0.7480314960629921" header="0.3149606299212598" footer="0.3149606299212598"/>
  <pageSetup orientation="portrait" paperSize="9" scale="46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CP Malaysia_HR Department</dc:creator>
  <dcterms:created xmlns:dcterms="http://purl.org/dc/terms/" xmlns:xsi="http://www.w3.org/2001/XMLSchema-instance" xsi:type="dcterms:W3CDTF">2014-04-02T07:59:45Z</dcterms:created>
  <dcterms:modified xmlns:dcterms="http://purl.org/dc/terms/" xmlns:xsi="http://www.w3.org/2001/XMLSchema-instance" xsi:type="dcterms:W3CDTF">2026-06-23T02:53:04Z</dcterms:modified>
  <cp:lastModifiedBy>NORHAFIZAH BINTI JALIL</cp:lastModifiedBy>
  <cp:lastPrinted>2026-06-11T06:07:14Z</cp:lastPrinted>
</cp:coreProperties>
</file>