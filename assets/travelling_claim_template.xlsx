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frina\Documents\"/>
    </mc:Choice>
  </mc:AlternateContent>
  <xr:revisionPtr revIDLastSave="0" documentId="13_ncr:1_{8395DF88-DBD4-4B83-BD11-6BC7DC99B0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6.v.15" sheetId="3" r:id="rId1"/>
    <sheet name="Condition Table" sheetId="6" r:id="rId2"/>
    <sheet name="Sheet1" sheetId="4" state="hidden" r:id="rId3"/>
  </sheets>
  <definedNames>
    <definedName name="_xlnm.Print_Area" localSheetId="0">'2026.v.15'!$A$1:$AA$67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2" i="3" l="1"/>
  <c r="D61" i="3"/>
  <c r="D60" i="3"/>
  <c r="D59" i="3"/>
  <c r="D58" i="3"/>
  <c r="D57" i="3"/>
  <c r="E51" i="3"/>
  <c r="F51" i="3"/>
  <c r="K51" i="3"/>
  <c r="M11" i="3"/>
  <c r="N11" i="3"/>
  <c r="O11" i="3"/>
  <c r="P11" i="3"/>
  <c r="Q11" i="3"/>
  <c r="R11" i="3"/>
  <c r="S11" i="3"/>
  <c r="L11" i="3"/>
  <c r="V11" i="3"/>
  <c r="U11" i="3"/>
  <c r="X11" i="3" l="1"/>
  <c r="W11" i="3"/>
  <c r="D46" i="3" l="1"/>
  <c r="L51" i="3" l="1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7" i="3"/>
  <c r="D48" i="3"/>
  <c r="D49" i="3"/>
  <c r="D50" i="3"/>
  <c r="J51" i="3"/>
  <c r="I51" i="3"/>
  <c r="G51" i="3"/>
  <c r="D51" i="3" l="1"/>
  <c r="D53" i="3" s="1"/>
  <c r="D64" i="3" s="1"/>
  <c r="D56" i="3" l="1"/>
  <c r="D63" i="3" s="1"/>
  <c r="H51" i="3"/>
  <c r="D65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mohd.faizal</author>
  </authors>
  <commentList>
    <comment ref="J1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Eg: Hotel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Eg: KLIA Transit, taxi fares, bus fares, Parking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<sst xmlns="http://schemas.openxmlformats.org/spreadsheetml/2006/main" count="169" uniqueCount="109">
  <si>
    <t>DATE</t>
  </si>
  <si>
    <t>TOTAL</t>
  </si>
  <si>
    <t>TOLL</t>
  </si>
  <si>
    <t>PARKING</t>
  </si>
  <si>
    <t>FROM</t>
  </si>
  <si>
    <t>TO</t>
  </si>
  <si>
    <t>RM</t>
  </si>
  <si>
    <t>DETAILS OF CLAIM</t>
  </si>
  <si>
    <t xml:space="preserve">GRAND TOTAL </t>
  </si>
  <si>
    <t>ACTUAL CLAIMED</t>
  </si>
  <si>
    <t>PURPOSE OF TRAVEL/DESTINATION</t>
  </si>
  <si>
    <t>METER READING</t>
  </si>
  <si>
    <t>Avian Farm (Malaysia) Sdn Bhd</t>
  </si>
  <si>
    <t>Pertanian Pertiwi Sdn Bhd</t>
  </si>
  <si>
    <t>Teck Huat Farming Sdn Bhd</t>
  </si>
  <si>
    <t>PERSONAL USAGE</t>
  </si>
  <si>
    <t>PETROL/DIESEL</t>
  </si>
  <si>
    <t>Less : Personal Use</t>
  </si>
  <si>
    <t>ACCOMODATION</t>
  </si>
  <si>
    <t>TRANSPORTATION</t>
  </si>
  <si>
    <t>ACCOMMODATION</t>
  </si>
  <si>
    <t>AIR FARE</t>
  </si>
  <si>
    <t/>
  </si>
  <si>
    <t>Chau Yang Farming Sdn Bhd</t>
  </si>
  <si>
    <t>Tip Top Meat Sdn Bhd</t>
  </si>
  <si>
    <t>MOTORCYCLE</t>
  </si>
  <si>
    <t>Charoen Pokphand Jaya Farm (M) Sdn Bhd</t>
  </si>
  <si>
    <t>PK Agro-Industrial Products (M) Sdn Bhd</t>
  </si>
  <si>
    <t>COST PER KM*</t>
  </si>
  <si>
    <t>Name:</t>
  </si>
  <si>
    <t>Position:</t>
  </si>
  <si>
    <t>Date:</t>
  </si>
  <si>
    <t>Company:</t>
  </si>
  <si>
    <t>Vehicle No.:</t>
  </si>
  <si>
    <t>Car Type:</t>
  </si>
  <si>
    <t>Branch:</t>
  </si>
  <si>
    <t>Department:</t>
  </si>
  <si>
    <t>PCA:</t>
  </si>
  <si>
    <t>CCA:</t>
  </si>
  <si>
    <t>AGRO-INDUSTRY BUSINESS GROUP (LIVESTOCK)</t>
  </si>
  <si>
    <t>TRAVELLING CLAIM FORM</t>
  </si>
  <si>
    <t>Travelling Period:</t>
  </si>
  <si>
    <t>Reference Number:</t>
  </si>
  <si>
    <t>/</t>
  </si>
  <si>
    <t>REQUESTED BY</t>
  </si>
  <si>
    <t>APPROVED BY HOD / BU HEAD
(DGM above)</t>
  </si>
  <si>
    <t>REVIEWED BY HR</t>
  </si>
  <si>
    <t>SECTION A : REQUESTER DETAILS</t>
  </si>
  <si>
    <t>SECTION B : MILEAGE CLAIM DETAILS</t>
  </si>
  <si>
    <r>
      <rPr>
        <b/>
        <sz val="10"/>
        <rFont val="Arial"/>
        <family val="2"/>
      </rPr>
      <t>PETROL/DIESEL</t>
    </r>
    <r>
      <rPr>
        <b/>
        <sz val="11"/>
        <rFont val="Arial"/>
        <family val="2"/>
      </rPr>
      <t xml:space="preserve"> </t>
    </r>
    <r>
      <rPr>
        <b/>
        <sz val="9"/>
        <rFont val="Arial"/>
        <family val="2"/>
      </rPr>
      <t>*for Company Car Only</t>
    </r>
  </si>
  <si>
    <t>JG:</t>
  </si>
  <si>
    <t>JG1</t>
  </si>
  <si>
    <t>JG2</t>
  </si>
  <si>
    <t>JG3</t>
  </si>
  <si>
    <t>JG4</t>
  </si>
  <si>
    <t>JG5</t>
  </si>
  <si>
    <t>JG6</t>
  </si>
  <si>
    <t>Claim Rate:</t>
  </si>
  <si>
    <t>-</t>
  </si>
  <si>
    <t>Employee ID:</t>
  </si>
  <si>
    <t>X</t>
  </si>
  <si>
    <t>OUTSTATION ALLOW.</t>
  </si>
  <si>
    <t>OUTSTATION ALLOWANCE (LOCAL/OVERSEA)</t>
  </si>
  <si>
    <t>PRIVATE CAR (NO ALLOWANCE)</t>
  </si>
  <si>
    <t>PRIVATE CAR (WITH ALLOWANCE - PETROL)</t>
  </si>
  <si>
    <t>PRIVATE CAR (WITH ALLOWANCE - DIESEL)</t>
  </si>
  <si>
    <t>CONDITION:</t>
  </si>
  <si>
    <t>Follow Rate</t>
  </si>
  <si>
    <t>Actual charging but If home charging with no receipt : RM0.20/km</t>
  </si>
  <si>
    <t>SELECTION:</t>
  </si>
  <si>
    <t>Rate :</t>
  </si>
  <si>
    <t>JG :</t>
  </si>
  <si>
    <t xml:space="preserve">Fix Rate : </t>
  </si>
  <si>
    <t>COMPANY CAR - PETROL</t>
  </si>
  <si>
    <t>COMPANY CAR - DIESEL</t>
  </si>
  <si>
    <t>ELECTRIC VEHICLE (NO ALLOWANCE)</t>
  </si>
  <si>
    <t>ELECTRIC VEHICLE (WITH ALLOWANCE) - STATION CHARGE</t>
  </si>
  <si>
    <t>ELECTRIC VEHICLE (WITH ALLOWANCE) - HOME CHARGE</t>
  </si>
  <si>
    <t>Document No.: Travelling_Claim_Form_20260601_v.15</t>
  </si>
  <si>
    <t>No</t>
  </si>
  <si>
    <t>Type of vehicle</t>
  </si>
  <si>
    <t>Type of Fuel</t>
  </si>
  <si>
    <t>Claim rate (refer 1st Day of the claim month)</t>
  </si>
  <si>
    <t>Remark</t>
  </si>
  <si>
    <t>RON95</t>
  </si>
  <si>
    <t>Claim based on mileage rate schedule (non subsidised RON95)</t>
  </si>
  <si>
    <t>Euro 5 Diesel</t>
  </si>
  <si>
    <t>Claim actual fuel cost, capped at schedule rate  (non subsidised RON95)</t>
  </si>
  <si>
    <t>Whichever lower</t>
  </si>
  <si>
    <t>Claim actual fuel cost, capped at schedule rate  (non subsidised Euro 5 Diesel)</t>
  </si>
  <si>
    <t>AC  Charger</t>
  </si>
  <si>
    <t>Home charging</t>
  </si>
  <si>
    <t>If home charging with no receipt : RM0.20/km</t>
  </si>
  <si>
    <t>Electric</t>
  </si>
  <si>
    <t>Actual charging cost, based on mileage rate schedule (non subsidised RON95)</t>
  </si>
  <si>
    <t>JG7</t>
  </si>
  <si>
    <t>JG8</t>
  </si>
  <si>
    <t>JG9</t>
  </si>
  <si>
    <t>JG10</t>
  </si>
  <si>
    <t>JG11</t>
  </si>
  <si>
    <t>JG12</t>
  </si>
  <si>
    <t>JG13</t>
  </si>
  <si>
    <t>JG14</t>
  </si>
  <si>
    <t xml:space="preserve"> JG15</t>
  </si>
  <si>
    <t>JG16</t>
  </si>
  <si>
    <t>JG17</t>
  </si>
  <si>
    <t xml:space="preserve"> JG18</t>
  </si>
  <si>
    <t>JG19</t>
  </si>
  <si>
    <t>JG20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</si>
</sst>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0.0000"/>
    <numFmt numFmtId="166" formatCode="[$-409]mmmm\-yy;@"/>
    <numFmt numFmtId="167" formatCode="0.000"/>
  </numFmts>
  <fonts count="3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u/>
      <sz val="11"/>
      <name val="Arial"/>
      <family val="2"/>
    </font>
    <font>
      <b/>
      <i/>
      <sz val="11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4"/>
      <name val="Cordia New"/>
      <family val="2"/>
    </font>
    <font>
      <b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name val="Arial"/>
      <family val="2"/>
    </font>
    <font>
      <sz val="16"/>
      <name val="Arial"/>
      <family val="2"/>
    </font>
    <font>
      <b/>
      <sz val="16"/>
      <color rgb="FFFF0000"/>
      <name val="Arial"/>
      <family val="2"/>
    </font>
    <font>
      <b/>
      <sz val="24"/>
      <color rgb="FF002060"/>
      <name val="Arial"/>
      <family val="2"/>
    </font>
    <font>
      <b/>
      <sz val="16"/>
      <color theme="0"/>
      <name val="Arial"/>
      <family val="2"/>
    </font>
    <font>
      <sz val="8"/>
      <name val="Arial"/>
      <family val="2"/>
    </font>
    <font>
      <b/>
      <i/>
      <sz val="9"/>
      <color rgb="FF002060"/>
      <name val="Arial"/>
      <family val="2"/>
    </font>
    <font>
      <b/>
      <sz val="11"/>
      <color theme="0"/>
      <name val="Arial"/>
      <family val="2"/>
    </font>
    <font>
      <b/>
      <sz val="16"/>
      <color rgb="FF0070C0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1" fillId="0" borderId="0"/>
  </cellStyleXfs>
  <cellXfs count="246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4" fontId="8" fillId="3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1" fontId="6" fillId="3" borderId="1" xfId="0" applyNumberFormat="1" applyFont="1" applyFill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 wrapText="1"/>
    </xf>
    <xf numFmtId="1" fontId="8" fillId="3" borderId="1" xfId="0" applyNumberFormat="1" applyFont="1" applyFill="1" applyBorder="1" applyAlignment="1">
      <alignment horizontal="center" vertical="center"/>
    </xf>
    <xf numFmtId="3" fontId="18" fillId="0" borderId="0" xfId="0" applyNumberFormat="1" applyFont="1" applyAlignment="1">
      <alignment vertical="center"/>
    </xf>
    <xf numFmtId="3" fontId="17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4" fontId="7" fillId="0" borderId="0" xfId="0" applyNumberFormat="1" applyFont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4" borderId="2" xfId="0" applyFont="1" applyFill="1" applyBorder="1" applyAlignment="1">
      <alignment vertical="center"/>
    </xf>
    <xf numFmtId="3" fontId="7" fillId="4" borderId="0" xfId="0" applyNumberFormat="1" applyFont="1" applyFill="1" applyAlignment="1">
      <alignment horizontal="center" vertical="center"/>
    </xf>
    <xf numFmtId="3" fontId="10" fillId="4" borderId="0" xfId="0" applyNumberFormat="1" applyFont="1" applyFill="1" applyAlignment="1">
      <alignment horizontal="center" vertical="center"/>
    </xf>
    <xf numFmtId="3" fontId="17" fillId="0" borderId="0" xfId="0" applyNumberFormat="1" applyFont="1" applyAlignment="1">
      <alignment horizontal="right" vertical="center"/>
    </xf>
    <xf numFmtId="166" fontId="19" fillId="2" borderId="0" xfId="0" applyNumberFormat="1" applyFont="1" applyFill="1" applyAlignment="1">
      <alignment horizontal="left" vertical="center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vertical="center"/>
    </xf>
    <xf numFmtId="4" fontId="5" fillId="4" borderId="8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3" fillId="0" borderId="0" xfId="0" applyFont="1"/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3" fontId="8" fillId="0" borderId="6" xfId="0" applyNumberFormat="1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>
      <alignment vertical="center"/>
    </xf>
    <xf numFmtId="4" fontId="4" fillId="0" borderId="1" xfId="0" applyNumberFormat="1" applyFont="1" applyBorder="1" applyAlignment="1" applyProtection="1">
      <alignment horizontal="center" vertical="center"/>
      <protection locked="0"/>
    </xf>
    <xf numFmtId="0" fontId="17" fillId="2" borderId="2" xfId="0" applyFont="1" applyFill="1" applyBorder="1" applyAlignment="1">
      <alignment vertical="center"/>
    </xf>
    <xf numFmtId="0" fontId="17" fillId="2" borderId="0" xfId="0" applyFont="1" applyFill="1" applyAlignment="1">
      <alignment vertical="center"/>
    </xf>
    <xf numFmtId="0" fontId="17" fillId="2" borderId="2" xfId="0" applyFont="1" applyFill="1" applyBorder="1" applyAlignment="1">
      <alignment horizontal="left" vertical="center"/>
    </xf>
    <xf numFmtId="0" fontId="17" fillId="2" borderId="0" xfId="0" applyFont="1" applyFill="1" applyAlignment="1">
      <alignment horizontal="left" vertical="center"/>
    </xf>
    <xf numFmtId="2" fontId="8" fillId="3" borderId="1" xfId="0" applyNumberFormat="1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0" fontId="6" fillId="0" borderId="6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21" fillId="5" borderId="0" xfId="0" applyFont="1" applyFill="1" applyAlignment="1">
      <alignment horizontal="left" vertical="center"/>
    </xf>
    <xf numFmtId="0" fontId="6" fillId="0" borderId="15" xfId="0" applyFont="1" applyBorder="1" applyAlignment="1">
      <alignment horizontal="center" vertical="center"/>
    </xf>
    <xf numFmtId="0" fontId="7" fillId="2" borderId="5" xfId="0" applyFont="1" applyFill="1" applyBorder="1" applyAlignment="1">
      <alignment vertical="center"/>
    </xf>
    <xf numFmtId="3" fontId="7" fillId="0" borderId="6" xfId="0" applyNumberFormat="1" applyFont="1" applyBorder="1" applyAlignment="1">
      <alignment horizontal="center" vertical="center"/>
    </xf>
    <xf numFmtId="4" fontId="7" fillId="0" borderId="6" xfId="0" applyNumberFormat="1" applyFont="1" applyBorder="1" applyAlignment="1">
      <alignment horizontal="center" vertical="center"/>
    </xf>
    <xf numFmtId="0" fontId="6" fillId="0" borderId="6" xfId="0" quotePrefix="1" applyFont="1" applyBorder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43" fontId="6" fillId="0" borderId="15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2" borderId="13" xfId="0" applyFont="1" applyFill="1" applyBorder="1" applyAlignment="1">
      <alignment vertical="center"/>
    </xf>
    <xf numFmtId="3" fontId="7" fillId="0" borderId="15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4" fontId="7" fillId="0" borderId="15" xfId="0" applyNumberFormat="1" applyFont="1" applyBorder="1" applyAlignment="1">
      <alignment horizontal="center" vertical="center"/>
    </xf>
    <xf numFmtId="4" fontId="6" fillId="0" borderId="15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17" fillId="0" borderId="0" xfId="0" applyFont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4" fontId="6" fillId="0" borderId="6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6" fillId="2" borderId="13" xfId="0" applyFont="1" applyFill="1" applyBorder="1" applyAlignment="1">
      <alignment vertical="center"/>
    </xf>
    <xf numFmtId="3" fontId="6" fillId="2" borderId="15" xfId="0" applyNumberFormat="1" applyFont="1" applyFill="1" applyBorder="1" applyAlignment="1">
      <alignment horizontal="center" vertical="center"/>
    </xf>
    <xf numFmtId="3" fontId="6" fillId="0" borderId="15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167" fontId="24" fillId="0" borderId="15" xfId="0" applyNumberFormat="1" applyFont="1" applyBorder="1" applyAlignment="1">
      <alignment horizontal="center" vertical="center"/>
    </xf>
    <xf numFmtId="4" fontId="9" fillId="0" borderId="15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3" fontId="10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7" fillId="0" borderId="2" xfId="0" quotePrefix="1" applyFont="1" applyBorder="1" applyAlignment="1">
      <alignment vertical="center"/>
    </xf>
    <xf numFmtId="3" fontId="10" fillId="0" borderId="0" xfId="0" quotePrefix="1" applyNumberFormat="1" applyFont="1" applyAlignment="1">
      <alignment horizontal="center" vertical="center"/>
    </xf>
    <xf numFmtId="4" fontId="10" fillId="3" borderId="0" xfId="0" quotePrefix="1" applyNumberFormat="1" applyFont="1" applyFill="1" applyAlignment="1">
      <alignment horizontal="right" vertical="center"/>
    </xf>
    <xf numFmtId="4" fontId="10" fillId="3" borderId="0" xfId="0" applyNumberFormat="1" applyFont="1" applyFill="1" applyAlignment="1">
      <alignment horizontal="right" vertical="center"/>
    </xf>
    <xf numFmtId="0" fontId="10" fillId="0" borderId="2" xfId="0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22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25" fillId="2" borderId="3" xfId="0" applyFont="1" applyFill="1" applyBorder="1" applyAlignment="1">
      <alignment horizontal="center" vertical="center"/>
    </xf>
    <xf numFmtId="3" fontId="17" fillId="0" borderId="0" xfId="0" applyNumberFormat="1" applyFont="1" applyAlignment="1">
      <alignment horizontal="left" vertical="center"/>
    </xf>
    <xf numFmtId="0" fontId="17" fillId="2" borderId="0" xfId="0" applyFont="1" applyFill="1" applyAlignment="1">
      <alignment horizontal="right" vertical="center"/>
    </xf>
    <xf numFmtId="166" fontId="17" fillId="2" borderId="0" xfId="0" quotePrefix="1" applyNumberFormat="1" applyFont="1" applyFill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left" vertical="center"/>
    </xf>
    <xf numFmtId="3" fontId="7" fillId="3" borderId="1" xfId="0" applyNumberFormat="1" applyFont="1" applyFill="1" applyBorder="1" applyAlignment="1">
      <alignment horizontal="center" vertical="center" wrapText="1"/>
    </xf>
    <xf numFmtId="4" fontId="7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/>
    </xf>
    <xf numFmtId="2" fontId="10" fillId="0" borderId="2" xfId="0" quotePrefix="1" applyNumberFormat="1" applyFont="1" applyBorder="1" applyAlignment="1">
      <alignment vertical="center"/>
    </xf>
    <xf numFmtId="2" fontId="10" fillId="0" borderId="0" xfId="0" quotePrefix="1" applyNumberFormat="1" applyFont="1" applyAlignment="1">
      <alignment vertical="center"/>
    </xf>
    <xf numFmtId="2" fontId="10" fillId="0" borderId="3" xfId="0" quotePrefix="1" applyNumberFormat="1" applyFont="1" applyBorder="1" applyAlignment="1">
      <alignment vertical="center"/>
    </xf>
    <xf numFmtId="165" fontId="5" fillId="2" borderId="0" xfId="0" applyNumberFormat="1" applyFont="1" applyFill="1" applyAlignment="1">
      <alignment vertical="center"/>
    </xf>
    <xf numFmtId="2" fontId="4" fillId="0" borderId="0" xfId="0" quotePrefix="1" applyNumberFormat="1" applyFont="1" applyAlignment="1">
      <alignment vertical="center"/>
    </xf>
    <xf numFmtId="2" fontId="7" fillId="0" borderId="0" xfId="0" quotePrefix="1" applyNumberFormat="1" applyFont="1" applyAlignment="1" applyProtection="1">
      <alignment vertical="center"/>
      <protection locked="0"/>
    </xf>
    <xf numFmtId="2" fontId="4" fillId="0" borderId="3" xfId="0" quotePrefix="1" applyNumberFormat="1" applyFont="1" applyBorder="1" applyAlignment="1">
      <alignment vertical="center"/>
    </xf>
    <xf numFmtId="2" fontId="4" fillId="0" borderId="2" xfId="0" quotePrefix="1" applyNumberFormat="1" applyFont="1" applyBorder="1" applyAlignment="1">
      <alignment vertical="center"/>
    </xf>
    <xf numFmtId="0" fontId="0" fillId="2" borderId="4" xfId="0" applyFill="1" applyBorder="1" applyAlignment="1">
      <alignment vertical="center"/>
    </xf>
    <xf numFmtId="3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0" borderId="0" xfId="0" applyNumberFormat="1" applyAlignment="1">
      <alignment vertical="center" wrapText="1"/>
    </xf>
    <xf numFmtId="0" fontId="17" fillId="4" borderId="1" xfId="0" applyFont="1" applyFill="1" applyBorder="1" applyAlignment="1" applyProtection="1">
      <alignment horizontal="center" vertical="center"/>
      <protection locked="0"/>
    </xf>
    <xf numFmtId="0" fontId="17" fillId="4" borderId="10" xfId="0" applyFont="1" applyFill="1" applyBorder="1" applyAlignment="1" applyProtection="1">
      <alignment horizontal="center" vertical="center"/>
      <protection locked="0"/>
    </xf>
    <xf numFmtId="165" fontId="26" fillId="2" borderId="0" xfId="0" applyNumberFormat="1" applyFont="1" applyFill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2" fontId="4" fillId="0" borderId="2" xfId="0" quotePrefix="1" applyNumberFormat="1" applyFont="1" applyBorder="1" applyAlignment="1">
      <alignment horizontal="center" vertical="center"/>
    </xf>
    <xf numFmtId="2" fontId="4" fillId="0" borderId="0" xfId="0" quotePrefix="1" applyNumberFormat="1" applyFont="1" applyAlignment="1">
      <alignment horizontal="center" vertical="center"/>
    </xf>
    <xf numFmtId="2" fontId="4" fillId="0" borderId="3" xfId="0" quotePrefix="1" applyNumberFormat="1" applyFont="1" applyBorder="1" applyAlignment="1">
      <alignment horizontal="center" vertical="center"/>
    </xf>
    <xf numFmtId="0" fontId="28" fillId="0" borderId="0" xfId="0" applyFont="1" applyAlignment="1">
      <alignment vertical="center"/>
    </xf>
    <xf numFmtId="2" fontId="0" fillId="0" borderId="0" xfId="0" applyNumberFormat="1" applyAlignment="1">
      <alignment vertical="center"/>
    </xf>
    <xf numFmtId="164" fontId="28" fillId="0" borderId="0" xfId="1" applyFont="1" applyAlignment="1">
      <alignment vertical="center"/>
    </xf>
    <xf numFmtId="0" fontId="28" fillId="4" borderId="0" xfId="0" applyFont="1" applyFill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2" fontId="14" fillId="0" borderId="0" xfId="0" applyNumberFormat="1" applyFont="1" applyAlignment="1">
      <alignment vertical="center" wrapText="1"/>
    </xf>
    <xf numFmtId="164" fontId="0" fillId="0" borderId="0" xfId="1" applyFont="1" applyAlignment="1">
      <alignment vertical="center"/>
    </xf>
    <xf numFmtId="164" fontId="28" fillId="0" borderId="0" xfId="1" applyFont="1" applyAlignment="1">
      <alignment horizontal="left" vertical="center"/>
    </xf>
    <xf numFmtId="165" fontId="10" fillId="3" borderId="1" xfId="0" applyNumberFormat="1" applyFont="1" applyFill="1" applyBorder="1" applyAlignment="1">
      <alignment horizontal="right" vertical="center"/>
    </xf>
    <xf numFmtId="0" fontId="1" fillId="0" borderId="1" xfId="2" applyBorder="1" applyAlignment="1">
      <alignment horizontal="center" vertical="center"/>
    </xf>
    <xf numFmtId="0" fontId="29" fillId="0" borderId="1" xfId="2" applyFont="1" applyBorder="1"/>
    <xf numFmtId="0" fontId="1" fillId="0" borderId="0" xfId="2"/>
    <xf numFmtId="0" fontId="1" fillId="0" borderId="1" xfId="2" applyBorder="1"/>
    <xf numFmtId="0" fontId="1" fillId="8" borderId="1" xfId="2" applyFill="1" applyBorder="1"/>
    <xf numFmtId="0" fontId="1" fillId="0" borderId="0" xfId="2" applyAlignment="1">
      <alignment horizontal="center" vertical="center"/>
    </xf>
    <xf numFmtId="0" fontId="0" fillId="4" borderId="1" xfId="0" applyFill="1" applyBorder="1"/>
    <xf numFmtId="0" fontId="0" fillId="8" borderId="1" xfId="0" applyFill="1" applyBorder="1"/>
    <xf numFmtId="0" fontId="0" fillId="0" borderId="1" xfId="0" applyBorder="1"/>
    <xf numFmtId="0" fontId="28" fillId="7" borderId="1" xfId="0" applyFont="1" applyFill="1" applyBorder="1" applyAlignment="1">
      <alignment vertical="center"/>
    </xf>
    <xf numFmtId="0" fontId="0" fillId="7" borderId="1" xfId="0" applyFill="1" applyBorder="1"/>
    <xf numFmtId="0" fontId="28" fillId="9" borderId="1" xfId="0" applyFont="1" applyFill="1" applyBorder="1" applyAlignment="1">
      <alignment vertical="center"/>
    </xf>
    <xf numFmtId="0" fontId="0" fillId="9" borderId="1" xfId="0" applyFill="1" applyBorder="1"/>
    <xf numFmtId="0" fontId="28" fillId="8" borderId="1" xfId="0" applyFont="1" applyFill="1" applyBorder="1" applyAlignment="1">
      <alignment vertical="center"/>
    </xf>
    <xf numFmtId="0" fontId="28" fillId="10" borderId="1" xfId="0" applyFont="1" applyFill="1" applyBorder="1" applyAlignment="1">
      <alignment vertical="center"/>
    </xf>
    <xf numFmtId="0" fontId="0" fillId="10" borderId="1" xfId="0" applyFill="1" applyBorder="1"/>
    <xf numFmtId="0" fontId="7" fillId="0" borderId="13" xfId="0" quotePrefix="1" applyFont="1" applyBorder="1" applyAlignment="1" applyProtection="1">
      <alignment vertical="center"/>
      <protection locked="0"/>
    </xf>
    <xf numFmtId="0" fontId="7" fillId="0" borderId="15" xfId="0" quotePrefix="1" applyFont="1" applyBorder="1" applyAlignment="1" applyProtection="1">
      <alignment vertical="center"/>
      <protection locked="0"/>
    </xf>
    <xf numFmtId="0" fontId="7" fillId="0" borderId="14" xfId="0" quotePrefix="1" applyFont="1" applyBorder="1" applyAlignment="1" applyProtection="1">
      <alignment vertical="center"/>
      <protection locked="0"/>
    </xf>
    <xf numFmtId="0" fontId="7" fillId="0" borderId="5" xfId="0" quotePrefix="1" applyFont="1" applyBorder="1" applyAlignment="1" applyProtection="1">
      <alignment vertical="center"/>
      <protection locked="0"/>
    </xf>
    <xf numFmtId="0" fontId="7" fillId="0" borderId="6" xfId="0" quotePrefix="1" applyFont="1" applyBorder="1" applyAlignment="1" applyProtection="1">
      <alignment vertical="center"/>
      <protection locked="0"/>
    </xf>
    <xf numFmtId="0" fontId="7" fillId="0" borderId="7" xfId="0" quotePrefix="1" applyFont="1" applyBorder="1" applyAlignment="1" applyProtection="1">
      <alignment vertical="center"/>
      <protection locked="0"/>
    </xf>
    <xf numFmtId="0" fontId="5" fillId="6" borderId="13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165" fontId="5" fillId="6" borderId="13" xfId="0" applyNumberFormat="1" applyFont="1" applyFill="1" applyBorder="1" applyAlignment="1">
      <alignment horizontal="center" vertical="center"/>
    </xf>
    <xf numFmtId="165" fontId="5" fillId="6" borderId="15" xfId="0" applyNumberFormat="1" applyFont="1" applyFill="1" applyBorder="1" applyAlignment="1">
      <alignment horizontal="center" vertical="center"/>
    </xf>
    <xf numFmtId="165" fontId="5" fillId="6" borderId="14" xfId="0" applyNumberFormat="1" applyFont="1" applyFill="1" applyBorder="1" applyAlignment="1">
      <alignment horizontal="center" vertical="center"/>
    </xf>
    <xf numFmtId="165" fontId="5" fillId="6" borderId="2" xfId="0" applyNumberFormat="1" applyFont="1" applyFill="1" applyBorder="1" applyAlignment="1">
      <alignment horizontal="center" vertical="center"/>
    </xf>
    <xf numFmtId="165" fontId="5" fillId="6" borderId="0" xfId="0" applyNumberFormat="1" applyFont="1" applyFill="1" applyAlignment="1">
      <alignment horizontal="center" vertical="center"/>
    </xf>
    <xf numFmtId="165" fontId="5" fillId="6" borderId="3" xfId="0" applyNumberFormat="1" applyFont="1" applyFill="1" applyBorder="1" applyAlignment="1">
      <alignment horizontal="center" vertical="center"/>
    </xf>
    <xf numFmtId="165" fontId="5" fillId="6" borderId="5" xfId="0" applyNumberFormat="1" applyFont="1" applyFill="1" applyBorder="1" applyAlignment="1">
      <alignment horizontal="center" vertical="center"/>
    </xf>
    <xf numFmtId="165" fontId="5" fillId="6" borderId="6" xfId="0" applyNumberFormat="1" applyFont="1" applyFill="1" applyBorder="1" applyAlignment="1">
      <alignment horizontal="center" vertical="center"/>
    </xf>
    <xf numFmtId="165" fontId="5" fillId="6" borderId="7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2" fontId="4" fillId="0" borderId="2" xfId="0" quotePrefix="1" applyNumberFormat="1" applyFont="1" applyBorder="1" applyAlignment="1">
      <alignment horizontal="center" vertical="center"/>
    </xf>
    <xf numFmtId="2" fontId="4" fillId="0" borderId="0" xfId="0" quotePrefix="1" applyNumberFormat="1" applyFont="1" applyAlignment="1">
      <alignment horizontal="center" vertical="center"/>
    </xf>
    <xf numFmtId="2" fontId="4" fillId="0" borderId="3" xfId="0" quotePrefix="1" applyNumberFormat="1" applyFont="1" applyBorder="1" applyAlignment="1">
      <alignment horizontal="center" vertical="center"/>
    </xf>
    <xf numFmtId="2" fontId="7" fillId="0" borderId="13" xfId="0" quotePrefix="1" applyNumberFormat="1" applyFont="1" applyBorder="1" applyAlignment="1" applyProtection="1">
      <alignment vertical="center"/>
      <protection locked="0"/>
    </xf>
    <xf numFmtId="2" fontId="7" fillId="0" borderId="15" xfId="0" quotePrefix="1" applyNumberFormat="1" applyFont="1" applyBorder="1" applyAlignment="1" applyProtection="1">
      <alignment vertical="center"/>
      <protection locked="0"/>
    </xf>
    <xf numFmtId="2" fontId="7" fillId="0" borderId="14" xfId="0" quotePrefix="1" applyNumberFormat="1" applyFont="1" applyBorder="1" applyAlignment="1" applyProtection="1">
      <alignment vertical="center"/>
      <protection locked="0"/>
    </xf>
    <xf numFmtId="2" fontId="7" fillId="0" borderId="5" xfId="0" quotePrefix="1" applyNumberFormat="1" applyFont="1" applyBorder="1" applyAlignment="1" applyProtection="1">
      <alignment vertical="center"/>
      <protection locked="0"/>
    </xf>
    <xf numFmtId="2" fontId="7" fillId="0" borderId="6" xfId="0" quotePrefix="1" applyNumberFormat="1" applyFont="1" applyBorder="1" applyAlignment="1" applyProtection="1">
      <alignment vertical="center"/>
      <protection locked="0"/>
    </xf>
    <xf numFmtId="2" fontId="7" fillId="0" borderId="7" xfId="0" quotePrefix="1" applyNumberFormat="1" applyFont="1" applyBorder="1" applyAlignment="1" applyProtection="1">
      <alignment vertical="center"/>
      <protection locked="0"/>
    </xf>
    <xf numFmtId="0" fontId="8" fillId="3" borderId="4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4" fontId="17" fillId="4" borderId="16" xfId="0" applyNumberFormat="1" applyFont="1" applyFill="1" applyBorder="1" applyAlignment="1" applyProtection="1">
      <alignment horizontal="center" vertical="center"/>
      <protection locked="0"/>
    </xf>
    <xf numFmtId="4" fontId="17" fillId="4" borderId="17" xfId="0" applyNumberFormat="1" applyFont="1" applyFill="1" applyBorder="1" applyAlignment="1" applyProtection="1">
      <alignment horizontal="center" vertical="center"/>
      <protection locked="0"/>
    </xf>
    <xf numFmtId="4" fontId="17" fillId="4" borderId="18" xfId="0" applyNumberFormat="1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vertical="center" wrapText="1"/>
      <protection locked="0"/>
    </xf>
    <xf numFmtId="3" fontId="17" fillId="0" borderId="6" xfId="0" applyNumberFormat="1" applyFont="1" applyBorder="1" applyAlignment="1" applyProtection="1">
      <alignment horizontal="left" vertical="center"/>
      <protection locked="0"/>
    </xf>
    <xf numFmtId="4" fontId="4" fillId="0" borderId="1" xfId="0" applyNumberFormat="1" applyFont="1" applyBorder="1" applyAlignment="1" applyProtection="1">
      <alignment horizontal="center" vertical="center"/>
      <protection locked="0"/>
    </xf>
    <xf numFmtId="0" fontId="17" fillId="2" borderId="2" xfId="0" applyFont="1" applyFill="1" applyBorder="1" applyAlignment="1">
      <alignment vertical="center"/>
    </xf>
    <xf numFmtId="0" fontId="17" fillId="2" borderId="0" xfId="0" applyFont="1" applyFill="1" applyAlignment="1">
      <alignment vertical="center"/>
    </xf>
    <xf numFmtId="3" fontId="17" fillId="0" borderId="8" xfId="0" applyNumberFormat="1" applyFont="1" applyBorder="1" applyAlignment="1" applyProtection="1">
      <alignment horizontal="left" vertical="center"/>
      <protection locked="0"/>
    </xf>
    <xf numFmtId="4" fontId="7" fillId="3" borderId="10" xfId="0" applyNumberFormat="1" applyFont="1" applyFill="1" applyBorder="1" applyAlignment="1">
      <alignment horizontal="center" vertical="center" wrapText="1"/>
    </xf>
    <xf numFmtId="4" fontId="7" fillId="3" borderId="11" xfId="0" applyNumberFormat="1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4" fontId="14" fillId="3" borderId="10" xfId="0" applyNumberFormat="1" applyFont="1" applyFill="1" applyBorder="1" applyAlignment="1">
      <alignment horizontal="center" vertical="center" wrapText="1"/>
    </xf>
    <xf numFmtId="4" fontId="14" fillId="3" borderId="11" xfId="0" applyNumberFormat="1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4" fillId="3" borderId="5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4" fillId="3" borderId="10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3" fontId="7" fillId="3" borderId="13" xfId="0" applyNumberFormat="1" applyFont="1" applyFill="1" applyBorder="1" applyAlignment="1">
      <alignment horizontal="center" vertical="center" wrapText="1"/>
    </xf>
    <xf numFmtId="3" fontId="7" fillId="3" borderId="14" xfId="0" applyNumberFormat="1" applyFont="1" applyFill="1" applyBorder="1" applyAlignment="1">
      <alignment horizontal="center" vertical="center" wrapText="1"/>
    </xf>
    <xf numFmtId="3" fontId="7" fillId="3" borderId="5" xfId="0" applyNumberFormat="1" applyFont="1" applyFill="1" applyBorder="1" applyAlignment="1">
      <alignment horizontal="center" vertical="center" wrapText="1"/>
    </xf>
    <xf numFmtId="3" fontId="7" fillId="3" borderId="7" xfId="0" applyNumberFormat="1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left" vertical="center"/>
    </xf>
    <xf numFmtId="0" fontId="17" fillId="2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 wrapText="1"/>
    </xf>
    <xf numFmtId="0" fontId="6" fillId="0" borderId="6" xfId="0" applyFont="1" applyBorder="1" applyAlignment="1">
      <alignment vertical="center"/>
    </xf>
    <xf numFmtId="0" fontId="21" fillId="5" borderId="2" xfId="0" applyFont="1" applyFill="1" applyBorder="1" applyAlignment="1">
      <alignment horizontal="left" vertical="center"/>
    </xf>
    <xf numFmtId="0" fontId="21" fillId="5" borderId="0" xfId="0" applyFont="1" applyFill="1" applyAlignment="1">
      <alignment horizontal="left" vertical="center"/>
    </xf>
    <xf numFmtId="0" fontId="21" fillId="5" borderId="3" xfId="0" applyFont="1" applyFill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0" fillId="0" borderId="15" xfId="0" applyFont="1" applyBorder="1" applyAlignment="1">
      <alignment horizontal="right" vertical="center"/>
    </xf>
    <xf numFmtId="0" fontId="20" fillId="0" borderId="14" xfId="0" applyFont="1" applyBorder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20" fillId="0" borderId="3" xfId="0" applyFont="1" applyBorder="1" applyAlignment="1">
      <alignment horizontal="right" vertical="center"/>
    </xf>
    <xf numFmtId="0" fontId="20" fillId="0" borderId="6" xfId="0" applyFont="1" applyBorder="1" applyAlignment="1">
      <alignment horizontal="right" vertical="center"/>
    </xf>
    <xf numFmtId="0" fontId="20" fillId="0" borderId="7" xfId="0" applyFont="1" applyBorder="1" applyAlignment="1">
      <alignment horizontal="right" vertical="center"/>
    </xf>
    <xf numFmtId="0" fontId="21" fillId="5" borderId="4" xfId="0" applyFont="1" applyFill="1" applyBorder="1" applyAlignment="1">
      <alignment horizontal="left" vertical="center"/>
    </xf>
    <xf numFmtId="0" fontId="21" fillId="5" borderId="8" xfId="0" applyFont="1" applyFill="1" applyBorder="1" applyAlignment="1">
      <alignment horizontal="left" vertical="center"/>
    </xf>
    <xf numFmtId="0" fontId="21" fillId="5" borderId="9" xfId="0" applyFont="1" applyFill="1" applyBorder="1" applyAlignment="1">
      <alignment horizontal="left" vertical="center"/>
    </xf>
    <xf numFmtId="0" fontId="20" fillId="0" borderId="13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0" fillId="0" borderId="5" xfId="0" applyFont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27" fillId="3" borderId="10" xfId="0" applyFont="1" applyFill="1" applyBorder="1" applyAlignment="1">
      <alignment horizontal="center" vertical="center" wrapText="1"/>
    </xf>
    <xf numFmtId="0" fontId="27" fillId="3" borderId="11" xfId="0" applyFont="1" applyFill="1" applyBorder="1" applyAlignment="1">
      <alignment horizontal="center" vertical="center" wrapText="1"/>
    </xf>
    <xf numFmtId="3" fontId="17" fillId="4" borderId="16" xfId="0" applyNumberFormat="1" applyFont="1" applyFill="1" applyBorder="1" applyAlignment="1" applyProtection="1">
      <alignment horizontal="center" vertical="center"/>
      <protection locked="0"/>
    </xf>
    <xf numFmtId="3" fontId="17" fillId="4" borderId="17" xfId="0" applyNumberFormat="1" applyFont="1" applyFill="1" applyBorder="1" applyAlignment="1" applyProtection="1">
      <alignment horizontal="center" vertical="center"/>
      <protection locked="0"/>
    </xf>
    <xf numFmtId="3" fontId="17" fillId="4" borderId="18" xfId="0" applyNumberFormat="1" applyFont="1" applyFill="1" applyBorder="1" applyAlignment="1" applyProtection="1">
      <alignment horizontal="center" vertical="center"/>
      <protection locked="0"/>
    </xf>
    <xf numFmtId="0" fontId="2" fillId="5" borderId="1" xfId="0" applyFont="1" applyFill="1" applyBorder="1" applyAlignment="1">
      <alignment horizontal="center" vertical="center" wrapText="1"/>
    </xf>
    <xf numFmtId="2" fontId="8" fillId="3" borderId="1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8281A59A-B391-435C-BBF4-B744058F5F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91"/>
  <sheetViews>
    <sheetView showGridLines="0" tabSelected="1" view="pageBreakPreview" topLeftCell="G19" zoomScale="50" zoomScaleNormal="100" zoomScaleSheetLayoutView="50" workbookViewId="0">
      <selection activeCell="BD28" sqref="BD28"/>
    </sheetView>
  </sheetViews>
  <sheetFormatPr defaultColWidth="9.1796875" defaultRowHeight="12.5" x14ac:dyDescent="0.25"/>
  <cols>
    <col min="1" max="1" width="8.453125" style="88" customWidth="1"/>
    <col min="2" max="2" width="13.54296875" style="67" customWidth="1"/>
    <col min="3" max="3" width="14" style="67" customWidth="1"/>
    <col min="4" max="4" width="15" style="24" customWidth="1"/>
    <col min="5" max="5" width="12.54296875" style="22" bestFit="1" customWidth="1"/>
    <col min="6" max="7" width="14.54296875" style="68" customWidth="1"/>
    <col min="8" max="11" width="14.54296875" style="24" customWidth="1"/>
    <col min="12" max="23" width="3.54296875" style="22" customWidth="1"/>
    <col min="24" max="24" width="3" style="22" customWidth="1"/>
    <col min="25" max="29" width="3.54296875" style="22" customWidth="1"/>
    <col min="30" max="30" width="3.54296875" style="22" hidden="1" customWidth="1"/>
    <col min="31" max="31" width="0" style="22" hidden="1" customWidth="1"/>
    <col min="32" max="34" width="9.1796875" style="22" hidden="1" customWidth="1"/>
    <col min="35" max="35" width="41.54296875" style="22" hidden="1" customWidth="1"/>
    <col min="36" max="36" width="54.54296875" style="22" hidden="1" customWidth="1"/>
    <col min="37" max="37" width="11.453125" style="22" hidden="1" customWidth="1"/>
    <col min="38" max="38" width="7" style="22" hidden="1" customWidth="1"/>
    <col min="39" max="42" width="9.1796875" style="22" hidden="1" customWidth="1"/>
    <col min="43" max="43" width="9.1796875" style="22" customWidth="1"/>
    <col min="44" max="16384" width="9.1796875" style="22"/>
  </cols>
  <sheetData>
    <row r="1" spans="1:30" ht="27.75" customHeight="1" x14ac:dyDescent="0.25">
      <c r="A1" s="233" t="s">
        <v>39</v>
      </c>
      <c r="B1" s="234"/>
      <c r="C1" s="234"/>
      <c r="D1" s="234"/>
      <c r="E1" s="234"/>
      <c r="F1" s="234"/>
      <c r="G1" s="234"/>
      <c r="H1" s="234"/>
      <c r="I1" s="224" t="s">
        <v>40</v>
      </c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5"/>
      <c r="AB1" s="54"/>
      <c r="AC1" s="54"/>
      <c r="AD1" s="54"/>
    </row>
    <row r="2" spans="1:30" ht="12.75" customHeight="1" x14ac:dyDescent="0.25">
      <c r="A2" s="235"/>
      <c r="B2" s="236"/>
      <c r="C2" s="236"/>
      <c r="D2" s="236"/>
      <c r="E2" s="236"/>
      <c r="F2" s="236"/>
      <c r="G2" s="236"/>
      <c r="H2" s="236"/>
      <c r="I2" s="226"/>
      <c r="J2" s="226"/>
      <c r="K2" s="226"/>
      <c r="L2" s="226"/>
      <c r="M2" s="226"/>
      <c r="N2" s="226"/>
      <c r="O2" s="226"/>
      <c r="P2" s="226"/>
      <c r="Q2" s="226"/>
      <c r="R2" s="226"/>
      <c r="S2" s="226"/>
      <c r="T2" s="226"/>
      <c r="U2" s="226"/>
      <c r="V2" s="226"/>
      <c r="W2" s="226"/>
      <c r="X2" s="226"/>
      <c r="Y2" s="226"/>
      <c r="Z2" s="226"/>
      <c r="AA2" s="227"/>
      <c r="AB2" s="55"/>
      <c r="AC2" s="55"/>
      <c r="AD2" s="55"/>
    </row>
    <row r="3" spans="1:30" ht="18" customHeight="1" x14ac:dyDescent="0.25">
      <c r="A3" s="235"/>
      <c r="B3" s="236"/>
      <c r="C3" s="236"/>
      <c r="D3" s="236"/>
      <c r="E3" s="236"/>
      <c r="F3" s="236"/>
      <c r="G3" s="236"/>
      <c r="H3" s="23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  <c r="U3" s="226"/>
      <c r="V3" s="226"/>
      <c r="W3" s="226"/>
      <c r="X3" s="226"/>
      <c r="Y3" s="226"/>
      <c r="Z3" s="226"/>
      <c r="AA3" s="227"/>
    </row>
    <row r="4" spans="1:30" ht="18" customHeight="1" x14ac:dyDescent="0.25">
      <c r="A4" s="237"/>
      <c r="B4" s="238"/>
      <c r="C4" s="238"/>
      <c r="D4" s="238"/>
      <c r="E4" s="238"/>
      <c r="F4" s="238"/>
      <c r="G4" s="238"/>
      <c r="H4" s="23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9"/>
      <c r="AB4" s="25"/>
      <c r="AC4" s="25"/>
      <c r="AD4" s="25"/>
    </row>
    <row r="5" spans="1:30" ht="33.75" customHeight="1" x14ac:dyDescent="0.25">
      <c r="A5" s="219" t="s">
        <v>47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1"/>
      <c r="Y5" s="46"/>
      <c r="Z5" s="46"/>
      <c r="AA5" s="46"/>
      <c r="AB5" s="13"/>
      <c r="AC5" s="13"/>
      <c r="AD5" s="13"/>
    </row>
    <row r="6" spans="1:30" ht="11.25" customHeight="1" x14ac:dyDescent="0.25">
      <c r="A6" s="56"/>
      <c r="B6" s="57"/>
      <c r="C6" s="57"/>
      <c r="D6" s="58"/>
      <c r="E6" s="59"/>
      <c r="F6" s="60"/>
      <c r="G6" s="61"/>
      <c r="H6" s="47"/>
      <c r="I6" s="47"/>
      <c r="J6" s="47"/>
      <c r="K6" s="47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3"/>
      <c r="AB6" s="25"/>
      <c r="AC6" s="25"/>
      <c r="AD6" s="25"/>
    </row>
    <row r="7" spans="1:30" ht="26.25" customHeight="1" x14ac:dyDescent="0.25">
      <c r="A7" s="194" t="s">
        <v>32</v>
      </c>
      <c r="B7" s="195"/>
      <c r="C7" s="192"/>
      <c r="D7" s="192"/>
      <c r="E7" s="192"/>
      <c r="F7" s="192"/>
      <c r="G7" s="192"/>
      <c r="I7" s="11" t="s">
        <v>59</v>
      </c>
      <c r="L7" s="98">
        <v>9</v>
      </c>
      <c r="M7" s="98">
        <v>9</v>
      </c>
      <c r="N7" s="114" t="s">
        <v>60</v>
      </c>
      <c r="O7" s="114" t="s">
        <v>60</v>
      </c>
      <c r="P7" s="114" t="s">
        <v>60</v>
      </c>
      <c r="Q7" s="114" t="s">
        <v>60</v>
      </c>
      <c r="R7" s="114" t="s">
        <v>60</v>
      </c>
      <c r="S7" s="114" t="s">
        <v>60</v>
      </c>
      <c r="T7" s="114" t="s">
        <v>60</v>
      </c>
      <c r="U7" s="114" t="s">
        <v>60</v>
      </c>
      <c r="V7" s="64"/>
      <c r="W7" s="64"/>
      <c r="X7" s="64"/>
      <c r="Y7" s="64"/>
      <c r="Z7" s="64"/>
      <c r="AA7" s="93"/>
      <c r="AB7" s="20"/>
      <c r="AC7" s="20"/>
      <c r="AD7" s="20"/>
    </row>
    <row r="8" spans="1:30" ht="26.25" customHeight="1" x14ac:dyDescent="0.25">
      <c r="A8" s="194" t="s">
        <v>29</v>
      </c>
      <c r="B8" s="195"/>
      <c r="C8" s="196"/>
      <c r="D8" s="196"/>
      <c r="E8" s="196"/>
      <c r="F8" s="196"/>
      <c r="G8" s="196"/>
      <c r="I8" s="11" t="s">
        <v>37</v>
      </c>
      <c r="L8" s="114">
        <v>6</v>
      </c>
      <c r="M8" s="114">
        <v>5</v>
      </c>
      <c r="N8" s="114">
        <v>2</v>
      </c>
      <c r="O8" s="114">
        <v>3</v>
      </c>
      <c r="P8" s="114">
        <v>1</v>
      </c>
      <c r="Q8" s="114">
        <v>2</v>
      </c>
      <c r="R8" s="114">
        <v>1</v>
      </c>
      <c r="S8" s="114">
        <v>0</v>
      </c>
      <c r="T8" s="114">
        <v>0</v>
      </c>
      <c r="U8" s="64"/>
      <c r="V8" s="64"/>
      <c r="W8" s="64"/>
      <c r="X8" s="64"/>
      <c r="Y8" s="64"/>
      <c r="Z8" s="64"/>
      <c r="AA8" s="93"/>
      <c r="AB8" s="11"/>
      <c r="AC8" s="11"/>
      <c r="AD8" s="11"/>
    </row>
    <row r="9" spans="1:30" ht="26.25" customHeight="1" x14ac:dyDescent="0.25">
      <c r="A9" s="214" t="s">
        <v>30</v>
      </c>
      <c r="B9" s="215"/>
      <c r="C9" s="196"/>
      <c r="D9" s="196"/>
      <c r="E9" s="196"/>
      <c r="F9" s="19" t="s">
        <v>50</v>
      </c>
      <c r="G9" s="35"/>
      <c r="I9" s="11" t="s">
        <v>38</v>
      </c>
      <c r="L9" s="115">
        <v>6</v>
      </c>
      <c r="M9" s="115">
        <v>5</v>
      </c>
      <c r="N9" s="115">
        <v>2</v>
      </c>
      <c r="O9" s="115">
        <v>3</v>
      </c>
      <c r="P9" s="115">
        <v>1</v>
      </c>
      <c r="Q9" s="115">
        <v>2</v>
      </c>
      <c r="R9" s="114">
        <v>1</v>
      </c>
      <c r="S9" s="115">
        <v>4</v>
      </c>
      <c r="T9" s="115">
        <v>1</v>
      </c>
      <c r="U9" s="115">
        <v>2</v>
      </c>
      <c r="V9" s="64"/>
      <c r="W9" s="64"/>
      <c r="X9" s="64"/>
      <c r="Y9" s="64"/>
      <c r="Z9" s="64"/>
      <c r="AA9" s="93"/>
      <c r="AB9" s="11"/>
      <c r="AC9" s="11"/>
      <c r="AD9" s="11"/>
    </row>
    <row r="10" spans="1:30" ht="26.25" customHeight="1" x14ac:dyDescent="0.25">
      <c r="A10" s="40" t="s">
        <v>36</v>
      </c>
      <c r="B10" s="41"/>
      <c r="C10" s="192"/>
      <c r="D10" s="192"/>
      <c r="E10" s="192"/>
      <c r="F10" s="192"/>
      <c r="G10" s="192"/>
      <c r="I10" s="39" t="s">
        <v>41</v>
      </c>
      <c r="L10" s="114">
        <v>0</v>
      </c>
      <c r="M10" s="114">
        <v>1</v>
      </c>
      <c r="N10" s="114">
        <v>0</v>
      </c>
      <c r="O10" s="114">
        <v>4</v>
      </c>
      <c r="P10" s="114">
        <v>2</v>
      </c>
      <c r="Q10" s="114">
        <v>4</v>
      </c>
      <c r="R10" s="92" t="s">
        <v>58</v>
      </c>
      <c r="S10" s="114">
        <v>3</v>
      </c>
      <c r="T10" s="115">
        <v>0</v>
      </c>
      <c r="U10" s="114">
        <v>0</v>
      </c>
      <c r="V10" s="114">
        <v>4</v>
      </c>
      <c r="W10" s="114">
        <v>2</v>
      </c>
      <c r="X10" s="114">
        <v>4</v>
      </c>
      <c r="Y10" s="64"/>
      <c r="Z10" s="64"/>
      <c r="AA10" s="93"/>
      <c r="AB10" s="11"/>
      <c r="AC10" s="11"/>
      <c r="AD10" s="11"/>
    </row>
    <row r="11" spans="1:30" ht="26.25" customHeight="1" x14ac:dyDescent="0.25">
      <c r="A11" s="40" t="s">
        <v>35</v>
      </c>
      <c r="B11" s="41"/>
      <c r="C11" s="196"/>
      <c r="D11" s="196"/>
      <c r="E11" s="196"/>
      <c r="F11" s="196"/>
      <c r="G11" s="196"/>
      <c r="I11" s="39" t="s">
        <v>42</v>
      </c>
      <c r="L11" s="98" t="str">
        <f>N7</f>
        <v>X</v>
      </c>
      <c r="M11" s="98" t="str">
        <f t="shared" ref="M11:S11" si="0">O7</f>
        <v>X</v>
      </c>
      <c r="N11" s="98" t="str">
        <f t="shared" si="0"/>
        <v>X</v>
      </c>
      <c r="O11" s="98" t="str">
        <f>Q7</f>
        <v>X</v>
      </c>
      <c r="P11" s="98" t="str">
        <f>R7</f>
        <v>X</v>
      </c>
      <c r="Q11" s="98" t="str">
        <f t="shared" si="0"/>
        <v>X</v>
      </c>
      <c r="R11" s="98" t="str">
        <f t="shared" si="0"/>
        <v>X</v>
      </c>
      <c r="S11" s="98" t="str">
        <f t="shared" si="0"/>
        <v>X</v>
      </c>
      <c r="T11" s="98" t="s">
        <v>43</v>
      </c>
      <c r="U11" s="98">
        <f>U10</f>
        <v>0</v>
      </c>
      <c r="V11" s="98">
        <f>V10</f>
        <v>4</v>
      </c>
      <c r="W11" s="98">
        <f>W10</f>
        <v>2</v>
      </c>
      <c r="X11" s="98">
        <f>X10</f>
        <v>4</v>
      </c>
      <c r="Y11" s="98" t="s">
        <v>43</v>
      </c>
      <c r="Z11" s="114">
        <v>0</v>
      </c>
      <c r="AA11" s="114">
        <v>1</v>
      </c>
      <c r="AB11" s="11"/>
      <c r="AC11" s="11"/>
      <c r="AD11" s="11"/>
    </row>
    <row r="12" spans="1:30" ht="26.25" customHeight="1" thickBot="1" x14ac:dyDescent="0.3">
      <c r="A12" s="38" t="s">
        <v>33</v>
      </c>
      <c r="B12" s="9"/>
      <c r="C12" s="192"/>
      <c r="D12" s="192"/>
      <c r="E12" s="192"/>
      <c r="F12" s="192"/>
      <c r="G12" s="192"/>
      <c r="I12" s="22"/>
      <c r="J12" s="22"/>
      <c r="K12" s="22"/>
      <c r="Y12" s="52"/>
      <c r="Z12" s="52"/>
      <c r="AA12" s="89"/>
      <c r="AB12" s="11"/>
      <c r="AC12" s="11"/>
      <c r="AD12" s="11"/>
    </row>
    <row r="13" spans="1:30" ht="26.25" customHeight="1" thickBot="1" x14ac:dyDescent="0.3">
      <c r="A13" s="38"/>
      <c r="B13" s="10"/>
      <c r="C13" s="2"/>
      <c r="D13" s="27"/>
      <c r="E13" s="28"/>
      <c r="F13" s="12"/>
      <c r="G13" s="65"/>
      <c r="I13" s="91" t="s">
        <v>34</v>
      </c>
      <c r="J13" s="241" t="s">
        <v>25</v>
      </c>
      <c r="K13" s="242"/>
      <c r="L13" s="242"/>
      <c r="M13" s="242"/>
      <c r="N13" s="242"/>
      <c r="O13" s="242"/>
      <c r="P13" s="242"/>
      <c r="Q13" s="243"/>
      <c r="R13" s="11"/>
      <c r="S13" s="90" t="s">
        <v>57</v>
      </c>
      <c r="U13" s="11"/>
      <c r="V13" s="11"/>
      <c r="W13" s="11"/>
      <c r="X13" s="188">
        <v>0.3</v>
      </c>
      <c r="Y13" s="189"/>
      <c r="Z13" s="190"/>
      <c r="AA13" s="94"/>
      <c r="AB13" s="11"/>
      <c r="AC13" s="11"/>
      <c r="AD13" s="11"/>
    </row>
    <row r="14" spans="1:30" ht="11.25" customHeight="1" x14ac:dyDescent="0.25">
      <c r="A14" s="48"/>
      <c r="B14" s="49"/>
      <c r="C14" s="49"/>
      <c r="D14" s="49"/>
      <c r="E14" s="49"/>
      <c r="F14" s="50"/>
      <c r="G14" s="66"/>
      <c r="H14" s="45"/>
      <c r="I14" s="51" t="s">
        <v>22</v>
      </c>
      <c r="J14" s="45"/>
      <c r="K14" s="45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36"/>
      <c r="AB14" s="25"/>
      <c r="AC14" s="25"/>
      <c r="AD14" s="25"/>
    </row>
    <row r="15" spans="1:30" ht="33.75" customHeight="1" x14ac:dyDescent="0.25">
      <c r="A15" s="230" t="s">
        <v>48</v>
      </c>
      <c r="B15" s="231"/>
      <c r="C15" s="231"/>
      <c r="D15" s="231"/>
      <c r="E15" s="231"/>
      <c r="F15" s="231"/>
      <c r="G15" s="231"/>
      <c r="H15" s="231"/>
      <c r="I15" s="231"/>
      <c r="J15" s="231"/>
      <c r="K15" s="231"/>
      <c r="L15" s="231"/>
      <c r="M15" s="231"/>
      <c r="N15" s="231"/>
      <c r="O15" s="231"/>
      <c r="P15" s="231"/>
      <c r="Q15" s="231"/>
      <c r="R15" s="231"/>
      <c r="S15" s="231"/>
      <c r="T15" s="231"/>
      <c r="U15" s="231"/>
      <c r="V15" s="231"/>
      <c r="W15" s="231"/>
      <c r="X15" s="231"/>
      <c r="Y15" s="231"/>
      <c r="Z15" s="231"/>
      <c r="AA15" s="232"/>
      <c r="AB15" s="13"/>
      <c r="AC15" s="13"/>
      <c r="AD15" s="13"/>
    </row>
    <row r="16" spans="1:30" ht="4.5" customHeight="1" x14ac:dyDescent="0.25">
      <c r="A16" s="107"/>
      <c r="B16" s="108"/>
      <c r="C16" s="108"/>
      <c r="D16" s="109"/>
      <c r="E16" s="110"/>
      <c r="F16" s="111"/>
      <c r="G16" s="111"/>
      <c r="H16" s="109"/>
      <c r="I16" s="109"/>
      <c r="J16" s="109"/>
      <c r="K16" s="109"/>
      <c r="L16" s="222"/>
      <c r="M16" s="222"/>
      <c r="N16" s="222"/>
      <c r="O16" s="222"/>
      <c r="P16" s="222"/>
      <c r="Q16" s="222"/>
      <c r="R16" s="222"/>
      <c r="S16" s="222"/>
      <c r="T16" s="222"/>
      <c r="U16" s="222"/>
      <c r="V16" s="222"/>
      <c r="W16" s="222"/>
      <c r="X16" s="222"/>
      <c r="Y16" s="109"/>
      <c r="Z16" s="109"/>
      <c r="AA16" s="112"/>
    </row>
    <row r="17" spans="1:40" s="23" customFormat="1" ht="12.75" customHeight="1" x14ac:dyDescent="0.25">
      <c r="A17" s="202" t="s">
        <v>0</v>
      </c>
      <c r="B17" s="210" t="s">
        <v>11</v>
      </c>
      <c r="C17" s="211"/>
      <c r="D17" s="199" t="s">
        <v>1</v>
      </c>
      <c r="E17" s="199" t="s">
        <v>15</v>
      </c>
      <c r="F17" s="197" t="s">
        <v>49</v>
      </c>
      <c r="G17" s="203" t="s">
        <v>2</v>
      </c>
      <c r="H17" s="208" t="s">
        <v>3</v>
      </c>
      <c r="I17" s="205" t="s">
        <v>21</v>
      </c>
      <c r="J17" s="207" t="s">
        <v>18</v>
      </c>
      <c r="K17" s="239" t="s">
        <v>62</v>
      </c>
      <c r="L17" s="207" t="s">
        <v>19</v>
      </c>
      <c r="M17" s="207"/>
      <c r="N17" s="207"/>
      <c r="O17" s="207"/>
      <c r="P17" s="207"/>
      <c r="Q17" s="202" t="s">
        <v>10</v>
      </c>
      <c r="R17" s="202"/>
      <c r="S17" s="202"/>
      <c r="T17" s="202"/>
      <c r="U17" s="202"/>
      <c r="V17" s="202"/>
      <c r="W17" s="202"/>
      <c r="X17" s="202"/>
      <c r="Y17" s="202"/>
      <c r="Z17" s="202"/>
      <c r="AA17" s="202"/>
      <c r="AB17" s="14"/>
      <c r="AC17" s="14"/>
      <c r="AD17" s="14"/>
    </row>
    <row r="18" spans="1:40" s="23" customFormat="1" ht="30" customHeight="1" x14ac:dyDescent="0.25">
      <c r="A18" s="202"/>
      <c r="B18" s="212"/>
      <c r="C18" s="213"/>
      <c r="D18" s="200"/>
      <c r="E18" s="200"/>
      <c r="F18" s="198"/>
      <c r="G18" s="204"/>
      <c r="H18" s="209"/>
      <c r="I18" s="206"/>
      <c r="J18" s="207"/>
      <c r="K18" s="240"/>
      <c r="L18" s="207"/>
      <c r="M18" s="207"/>
      <c r="N18" s="207"/>
      <c r="O18" s="207"/>
      <c r="P18" s="207"/>
      <c r="Q18" s="202"/>
      <c r="R18" s="202"/>
      <c r="S18" s="202"/>
      <c r="T18" s="202"/>
      <c r="U18" s="202"/>
      <c r="V18" s="202"/>
      <c r="W18" s="202"/>
      <c r="X18" s="202"/>
      <c r="Y18" s="202"/>
      <c r="Z18" s="202"/>
      <c r="AA18" s="202"/>
      <c r="AB18" s="14"/>
      <c r="AC18" s="14"/>
      <c r="AD18" s="14"/>
    </row>
    <row r="19" spans="1:40" s="23" customFormat="1" ht="21" customHeight="1" x14ac:dyDescent="0.25">
      <c r="A19" s="202"/>
      <c r="B19" s="95" t="s">
        <v>4</v>
      </c>
      <c r="C19" s="95" t="s">
        <v>5</v>
      </c>
      <c r="D19" s="201"/>
      <c r="E19" s="201"/>
      <c r="F19" s="96" t="s">
        <v>6</v>
      </c>
      <c r="G19" s="96" t="s">
        <v>6</v>
      </c>
      <c r="H19" s="97" t="s">
        <v>6</v>
      </c>
      <c r="I19" s="97" t="s">
        <v>6</v>
      </c>
      <c r="J19" s="97" t="s">
        <v>6</v>
      </c>
      <c r="K19" s="97" t="s">
        <v>6</v>
      </c>
      <c r="L19" s="202" t="s">
        <v>6</v>
      </c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  <c r="AB19" s="14"/>
      <c r="AC19" s="14"/>
      <c r="AD19" s="14"/>
      <c r="AI19" s="127" t="s">
        <v>66</v>
      </c>
      <c r="AJ19" s="127" t="s">
        <v>69</v>
      </c>
      <c r="AK19" s="127" t="s">
        <v>72</v>
      </c>
      <c r="AL19" s="127"/>
      <c r="AM19" s="128" t="s">
        <v>71</v>
      </c>
      <c r="AN19" s="129" t="s">
        <v>70</v>
      </c>
    </row>
    <row r="20" spans="1:40" ht="30" customHeight="1" x14ac:dyDescent="0.25">
      <c r="A20" s="1">
        <v>1</v>
      </c>
      <c r="B20" s="4"/>
      <c r="C20" s="5"/>
      <c r="D20" s="6">
        <f t="shared" ref="D20:D50" si="1">C20-B20</f>
        <v>0</v>
      </c>
      <c r="E20" s="4"/>
      <c r="F20" s="37"/>
      <c r="G20" s="37"/>
      <c r="H20" s="37"/>
      <c r="I20" s="37"/>
      <c r="J20" s="37"/>
      <c r="K20" s="37"/>
      <c r="L20" s="193"/>
      <c r="M20" s="193"/>
      <c r="N20" s="193"/>
      <c r="O20" s="193"/>
      <c r="P20" s="193"/>
      <c r="Q20" s="191"/>
      <c r="R20" s="191"/>
      <c r="S20" s="191"/>
      <c r="T20" s="191"/>
      <c r="U20" s="191"/>
      <c r="V20" s="191"/>
      <c r="W20" s="191"/>
      <c r="X20" s="191"/>
      <c r="Y20" s="191"/>
      <c r="Z20" s="191"/>
      <c r="AA20" s="191"/>
      <c r="AB20" s="21"/>
      <c r="AC20" s="21"/>
      <c r="AD20" s="21"/>
      <c r="AH20" s="124"/>
      <c r="AI20" s="123" t="s">
        <v>67</v>
      </c>
      <c r="AJ20" s="123" t="s">
        <v>25</v>
      </c>
      <c r="AK20" s="131">
        <v>0.28000000000000003</v>
      </c>
      <c r="AL20" s="125"/>
      <c r="AM20" s="30" t="s">
        <v>51</v>
      </c>
      <c r="AN20" s="130">
        <v>0.2</v>
      </c>
    </row>
    <row r="21" spans="1:40" ht="30" customHeight="1" x14ac:dyDescent="0.25">
      <c r="A21" s="1">
        <v>2</v>
      </c>
      <c r="B21" s="4"/>
      <c r="C21" s="5"/>
      <c r="D21" s="6">
        <f t="shared" si="1"/>
        <v>0</v>
      </c>
      <c r="E21" s="4"/>
      <c r="F21" s="37"/>
      <c r="G21" s="37"/>
      <c r="H21" s="37"/>
      <c r="I21" s="37"/>
      <c r="J21" s="37"/>
      <c r="K21" s="37"/>
      <c r="L21" s="193"/>
      <c r="M21" s="193"/>
      <c r="N21" s="193"/>
      <c r="O21" s="193"/>
      <c r="P21" s="193"/>
      <c r="Q21" s="191"/>
      <c r="R21" s="191"/>
      <c r="S21" s="191"/>
      <c r="T21" s="191"/>
      <c r="U21" s="191"/>
      <c r="V21" s="191"/>
      <c r="W21" s="191"/>
      <c r="X21" s="191"/>
      <c r="Y21" s="191"/>
      <c r="Z21" s="191"/>
      <c r="AA21" s="191"/>
      <c r="AB21" s="21"/>
      <c r="AC21" s="21"/>
      <c r="AD21" s="21"/>
      <c r="AH21" s="124"/>
      <c r="AI21" s="123" t="s">
        <v>67</v>
      </c>
      <c r="AJ21" s="123" t="s">
        <v>73</v>
      </c>
      <c r="AK21" s="125">
        <v>0.2</v>
      </c>
      <c r="AL21" s="125"/>
      <c r="AM21" s="30" t="s">
        <v>52</v>
      </c>
      <c r="AN21" s="130">
        <v>0.21</v>
      </c>
    </row>
    <row r="22" spans="1:40" s="23" customFormat="1" ht="30" customHeight="1" x14ac:dyDescent="0.25">
      <c r="A22" s="1">
        <v>3</v>
      </c>
      <c r="B22" s="4"/>
      <c r="C22" s="5"/>
      <c r="D22" s="7">
        <f t="shared" si="1"/>
        <v>0</v>
      </c>
      <c r="E22" s="4"/>
      <c r="F22" s="37"/>
      <c r="G22" s="37"/>
      <c r="H22" s="37"/>
      <c r="I22" s="37"/>
      <c r="J22" s="37"/>
      <c r="K22" s="37"/>
      <c r="L22" s="193"/>
      <c r="M22" s="193"/>
      <c r="N22" s="193"/>
      <c r="O22" s="193"/>
      <c r="P22" s="193"/>
      <c r="Q22" s="191"/>
      <c r="R22" s="191"/>
      <c r="S22" s="191"/>
      <c r="T22" s="191"/>
      <c r="U22" s="191"/>
      <c r="V22" s="191"/>
      <c r="W22" s="191"/>
      <c r="X22" s="191"/>
      <c r="Y22" s="191"/>
      <c r="Z22" s="191"/>
      <c r="AA22" s="191"/>
      <c r="AB22" s="21"/>
      <c r="AC22" s="21"/>
      <c r="AD22" s="21"/>
      <c r="AH22" s="113"/>
      <c r="AI22" s="123" t="s">
        <v>67</v>
      </c>
      <c r="AJ22" s="123" t="s">
        <v>74</v>
      </c>
      <c r="AK22" s="125">
        <v>0.59</v>
      </c>
      <c r="AL22" s="125"/>
      <c r="AM22" s="31" t="s">
        <v>53</v>
      </c>
      <c r="AN22" s="130">
        <v>0.22</v>
      </c>
    </row>
    <row r="23" spans="1:40" ht="30" customHeight="1" x14ac:dyDescent="0.25">
      <c r="A23" s="1">
        <v>4</v>
      </c>
      <c r="B23" s="4"/>
      <c r="C23" s="5"/>
      <c r="D23" s="6">
        <f t="shared" si="1"/>
        <v>0</v>
      </c>
      <c r="E23" s="4"/>
      <c r="F23" s="37"/>
      <c r="G23" s="37"/>
      <c r="H23" s="37"/>
      <c r="I23" s="37"/>
      <c r="J23" s="37"/>
      <c r="K23" s="37"/>
      <c r="L23" s="193"/>
      <c r="M23" s="193"/>
      <c r="N23" s="193"/>
      <c r="O23" s="193"/>
      <c r="P23" s="193"/>
      <c r="Q23" s="191"/>
      <c r="R23" s="191"/>
      <c r="S23" s="191"/>
      <c r="T23" s="191"/>
      <c r="U23" s="191"/>
      <c r="V23" s="191"/>
      <c r="W23" s="191"/>
      <c r="X23" s="191"/>
      <c r="Y23" s="191"/>
      <c r="Z23" s="191"/>
      <c r="AA23" s="191"/>
      <c r="AB23" s="21"/>
      <c r="AC23" s="21"/>
      <c r="AD23" s="21"/>
      <c r="AH23" s="124"/>
      <c r="AI23" s="123" t="s">
        <v>67</v>
      </c>
      <c r="AJ23" s="123" t="s">
        <v>64</v>
      </c>
      <c r="AK23" s="125">
        <v>0.2</v>
      </c>
      <c r="AL23" s="125"/>
      <c r="AM23" s="30" t="s">
        <v>54</v>
      </c>
      <c r="AN23" s="130">
        <v>0.23</v>
      </c>
    </row>
    <row r="24" spans="1:40" ht="30" customHeight="1" x14ac:dyDescent="0.25">
      <c r="A24" s="1">
        <v>5</v>
      </c>
      <c r="B24" s="4"/>
      <c r="C24" s="5"/>
      <c r="D24" s="6">
        <f t="shared" si="1"/>
        <v>0</v>
      </c>
      <c r="E24" s="4"/>
      <c r="F24" s="37"/>
      <c r="G24" s="37"/>
      <c r="H24" s="37"/>
      <c r="I24" s="37"/>
      <c r="J24" s="37"/>
      <c r="K24" s="37"/>
      <c r="L24" s="193"/>
      <c r="M24" s="193"/>
      <c r="N24" s="193"/>
      <c r="O24" s="193"/>
      <c r="P24" s="193"/>
      <c r="Q24" s="191"/>
      <c r="R24" s="191"/>
      <c r="S24" s="191"/>
      <c r="T24" s="191"/>
      <c r="U24" s="191"/>
      <c r="V24" s="191"/>
      <c r="W24" s="191"/>
      <c r="X24" s="191"/>
      <c r="Y24" s="191"/>
      <c r="Z24" s="191"/>
      <c r="AA24" s="191"/>
      <c r="AB24" s="21"/>
      <c r="AC24" s="21"/>
      <c r="AD24" s="21"/>
      <c r="AH24" s="124"/>
      <c r="AI24" s="126"/>
      <c r="AJ24" s="123" t="s">
        <v>65</v>
      </c>
      <c r="AK24" s="125">
        <v>0.2</v>
      </c>
      <c r="AL24" s="125"/>
      <c r="AM24" s="30" t="s">
        <v>55</v>
      </c>
      <c r="AN24" s="130">
        <v>0.24</v>
      </c>
    </row>
    <row r="25" spans="1:40" ht="30" customHeight="1" x14ac:dyDescent="0.25">
      <c r="A25" s="1">
        <v>6</v>
      </c>
      <c r="B25" s="4"/>
      <c r="C25" s="5"/>
      <c r="D25" s="6">
        <f t="shared" si="1"/>
        <v>0</v>
      </c>
      <c r="E25" s="4"/>
      <c r="F25" s="37"/>
      <c r="G25" s="37"/>
      <c r="H25" s="37"/>
      <c r="I25" s="37"/>
      <c r="J25" s="37"/>
      <c r="K25" s="37"/>
      <c r="L25" s="193"/>
      <c r="M25" s="193"/>
      <c r="N25" s="193"/>
      <c r="O25" s="193"/>
      <c r="P25" s="193"/>
      <c r="Q25" s="191"/>
      <c r="R25" s="191"/>
      <c r="S25" s="191"/>
      <c r="T25" s="191"/>
      <c r="U25" s="191"/>
      <c r="V25" s="191"/>
      <c r="W25" s="191"/>
      <c r="X25" s="191"/>
      <c r="Y25" s="191"/>
      <c r="Z25" s="191"/>
      <c r="AA25" s="191"/>
      <c r="AB25" s="21"/>
      <c r="AC25" s="21"/>
      <c r="AD25" s="21"/>
      <c r="AH25" s="124"/>
      <c r="AI25" s="123"/>
      <c r="AJ25" s="123" t="s">
        <v>63</v>
      </c>
      <c r="AK25" s="125">
        <v>0.22</v>
      </c>
      <c r="AL25" s="125"/>
      <c r="AM25" s="30" t="s">
        <v>56</v>
      </c>
      <c r="AN25" s="130">
        <v>0.25</v>
      </c>
    </row>
    <row r="26" spans="1:40" ht="30" customHeight="1" x14ac:dyDescent="0.25">
      <c r="A26" s="1">
        <v>7</v>
      </c>
      <c r="B26" s="4"/>
      <c r="C26" s="5"/>
      <c r="D26" s="6">
        <f t="shared" si="1"/>
        <v>0</v>
      </c>
      <c r="E26" s="4"/>
      <c r="F26" s="37"/>
      <c r="G26" s="37"/>
      <c r="H26" s="37"/>
      <c r="I26" s="37"/>
      <c r="J26" s="37"/>
      <c r="K26" s="37"/>
      <c r="L26" s="193"/>
      <c r="M26" s="193"/>
      <c r="N26" s="193"/>
      <c r="O26" s="193"/>
      <c r="P26" s="193"/>
      <c r="Q26" s="191"/>
      <c r="R26" s="191"/>
      <c r="S26" s="191"/>
      <c r="T26" s="191"/>
      <c r="U26" s="191"/>
      <c r="V26" s="191"/>
      <c r="W26" s="191"/>
      <c r="X26" s="191"/>
      <c r="Y26" s="191"/>
      <c r="Z26" s="191"/>
      <c r="AA26" s="191"/>
      <c r="AB26" s="21"/>
      <c r="AC26" s="21"/>
      <c r="AD26" s="21"/>
      <c r="AI26" s="126" t="s">
        <v>68</v>
      </c>
      <c r="AJ26" s="123" t="s">
        <v>75</v>
      </c>
      <c r="AM26" s="30" t="s">
        <v>95</v>
      </c>
      <c r="AN26" s="130">
        <v>0.26</v>
      </c>
    </row>
    <row r="27" spans="1:40" ht="30" customHeight="1" x14ac:dyDescent="0.25">
      <c r="A27" s="1">
        <v>8</v>
      </c>
      <c r="B27" s="4"/>
      <c r="C27" s="5"/>
      <c r="D27" s="6">
        <f t="shared" si="1"/>
        <v>0</v>
      </c>
      <c r="E27" s="4"/>
      <c r="F27" s="37"/>
      <c r="G27" s="37"/>
      <c r="H27" s="37"/>
      <c r="I27" s="37"/>
      <c r="J27" s="37"/>
      <c r="K27" s="37"/>
      <c r="L27" s="193"/>
      <c r="M27" s="193"/>
      <c r="N27" s="193"/>
      <c r="O27" s="193"/>
      <c r="P27" s="193"/>
      <c r="Q27" s="191"/>
      <c r="R27" s="191"/>
      <c r="S27" s="191"/>
      <c r="T27" s="191"/>
      <c r="U27" s="191"/>
      <c r="V27" s="191"/>
      <c r="W27" s="191"/>
      <c r="X27" s="191"/>
      <c r="Y27" s="191"/>
      <c r="Z27" s="191"/>
      <c r="AA27" s="191"/>
      <c r="AB27" s="21"/>
      <c r="AC27" s="21"/>
      <c r="AD27" s="21"/>
      <c r="AJ27" s="123" t="s">
        <v>76</v>
      </c>
      <c r="AM27" s="30" t="s">
        <v>96</v>
      </c>
      <c r="AN27" s="130">
        <v>0.27</v>
      </c>
    </row>
    <row r="28" spans="1:40" ht="30" customHeight="1" x14ac:dyDescent="0.25">
      <c r="A28" s="1">
        <v>9</v>
      </c>
      <c r="B28" s="4"/>
      <c r="C28" s="5"/>
      <c r="D28" s="6">
        <f t="shared" si="1"/>
        <v>0</v>
      </c>
      <c r="E28" s="4"/>
      <c r="F28" s="37"/>
      <c r="G28" s="37"/>
      <c r="H28" s="37"/>
      <c r="I28" s="37"/>
      <c r="J28" s="37"/>
      <c r="K28" s="37"/>
      <c r="L28" s="193"/>
      <c r="M28" s="193"/>
      <c r="N28" s="193"/>
      <c r="O28" s="193"/>
      <c r="P28" s="193"/>
      <c r="Q28" s="191"/>
      <c r="R28" s="191"/>
      <c r="S28" s="191"/>
      <c r="T28" s="191"/>
      <c r="U28" s="191"/>
      <c r="V28" s="191"/>
      <c r="W28" s="191"/>
      <c r="X28" s="191"/>
      <c r="Y28" s="191"/>
      <c r="Z28" s="191"/>
      <c r="AA28" s="191"/>
      <c r="AB28" s="21"/>
      <c r="AC28" s="21"/>
      <c r="AD28" s="21"/>
      <c r="AJ28" s="123" t="s">
        <v>77</v>
      </c>
      <c r="AM28" s="30" t="s">
        <v>97</v>
      </c>
      <c r="AN28" s="130">
        <v>0.28000000000000003</v>
      </c>
    </row>
    <row r="29" spans="1:40" ht="30" customHeight="1" x14ac:dyDescent="0.25">
      <c r="A29" s="1">
        <v>10</v>
      </c>
      <c r="B29" s="4"/>
      <c r="C29" s="5"/>
      <c r="D29" s="6">
        <f t="shared" si="1"/>
        <v>0</v>
      </c>
      <c r="E29" s="4"/>
      <c r="F29" s="37"/>
      <c r="G29" s="37"/>
      <c r="H29" s="37"/>
      <c r="I29" s="37"/>
      <c r="J29" s="37"/>
      <c r="K29" s="37"/>
      <c r="L29" s="193"/>
      <c r="M29" s="193"/>
      <c r="N29" s="193"/>
      <c r="O29" s="193"/>
      <c r="P29" s="193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21"/>
      <c r="AC29" s="21"/>
      <c r="AD29" s="21"/>
      <c r="AJ29" s="123"/>
      <c r="AM29" s="30" t="s">
        <v>98</v>
      </c>
      <c r="AN29" s="130">
        <v>0.28999999999999998</v>
      </c>
    </row>
    <row r="30" spans="1:40" ht="30" customHeight="1" x14ac:dyDescent="0.25">
      <c r="A30" s="1">
        <v>11</v>
      </c>
      <c r="B30" s="4"/>
      <c r="C30" s="5"/>
      <c r="D30" s="6">
        <f t="shared" si="1"/>
        <v>0</v>
      </c>
      <c r="E30" s="4"/>
      <c r="F30" s="37"/>
      <c r="G30" s="37"/>
      <c r="H30" s="37"/>
      <c r="I30" s="37"/>
      <c r="J30" s="37"/>
      <c r="K30" s="37"/>
      <c r="L30" s="193"/>
      <c r="M30" s="193"/>
      <c r="N30" s="193"/>
      <c r="O30" s="193"/>
      <c r="P30" s="193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21"/>
      <c r="AC30" s="21"/>
      <c r="AD30" s="21"/>
      <c r="AM30" s="30" t="s">
        <v>99</v>
      </c>
      <c r="AN30" s="130">
        <v>0.3</v>
      </c>
    </row>
    <row r="31" spans="1:40" ht="30" customHeight="1" x14ac:dyDescent="0.25">
      <c r="A31" s="1">
        <v>12</v>
      </c>
      <c r="B31" s="4"/>
      <c r="C31" s="5"/>
      <c r="D31" s="6">
        <f t="shared" si="1"/>
        <v>0</v>
      </c>
      <c r="E31" s="4"/>
      <c r="F31" s="37"/>
      <c r="G31" s="37"/>
      <c r="H31" s="37"/>
      <c r="I31" s="37"/>
      <c r="J31" s="37"/>
      <c r="K31" s="37"/>
      <c r="L31" s="193"/>
      <c r="M31" s="193"/>
      <c r="N31" s="193"/>
      <c r="O31" s="193"/>
      <c r="P31" s="193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21"/>
      <c r="AC31" s="21"/>
      <c r="AD31" s="21"/>
      <c r="AM31" s="30" t="s">
        <v>100</v>
      </c>
      <c r="AN31" s="130">
        <v>0.31</v>
      </c>
    </row>
    <row r="32" spans="1:40" ht="30" customHeight="1" x14ac:dyDescent="0.25">
      <c r="A32" s="1">
        <v>13</v>
      </c>
      <c r="B32" s="4"/>
      <c r="C32" s="5"/>
      <c r="D32" s="6">
        <f t="shared" si="1"/>
        <v>0</v>
      </c>
      <c r="E32" s="4"/>
      <c r="F32" s="37"/>
      <c r="G32" s="37"/>
      <c r="H32" s="37"/>
      <c r="I32" s="37"/>
      <c r="J32" s="37"/>
      <c r="K32" s="37"/>
      <c r="L32" s="193"/>
      <c r="M32" s="193"/>
      <c r="N32" s="193"/>
      <c r="O32" s="193"/>
      <c r="P32" s="193"/>
      <c r="Q32" s="191"/>
      <c r="R32" s="191"/>
      <c r="S32" s="191"/>
      <c r="T32" s="191"/>
      <c r="U32" s="191"/>
      <c r="V32" s="191"/>
      <c r="W32" s="191"/>
      <c r="X32" s="191"/>
      <c r="Y32" s="191"/>
      <c r="Z32" s="191"/>
      <c r="AA32" s="191"/>
      <c r="AB32" s="21"/>
      <c r="AC32" s="21"/>
      <c r="AD32" s="21"/>
      <c r="AM32" s="30" t="s">
        <v>101</v>
      </c>
      <c r="AN32" s="130">
        <v>0.32</v>
      </c>
    </row>
    <row r="33" spans="1:40" ht="30" customHeight="1" x14ac:dyDescent="0.25">
      <c r="A33" s="1">
        <v>14</v>
      </c>
      <c r="B33" s="4"/>
      <c r="C33" s="5"/>
      <c r="D33" s="6">
        <f t="shared" si="1"/>
        <v>0</v>
      </c>
      <c r="E33" s="4"/>
      <c r="F33" s="37"/>
      <c r="G33" s="37"/>
      <c r="H33" s="37"/>
      <c r="I33" s="37"/>
      <c r="J33" s="37"/>
      <c r="K33" s="37"/>
      <c r="L33" s="193"/>
      <c r="M33" s="193"/>
      <c r="N33" s="193"/>
      <c r="O33" s="193"/>
      <c r="P33" s="193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  <c r="AB33" s="21"/>
      <c r="AC33" s="21"/>
      <c r="AD33" s="21"/>
      <c r="AM33" s="30" t="s">
        <v>102</v>
      </c>
      <c r="AN33" s="130">
        <v>0.33</v>
      </c>
    </row>
    <row r="34" spans="1:40" ht="30" customHeight="1" x14ac:dyDescent="0.25">
      <c r="A34" s="1">
        <v>15</v>
      </c>
      <c r="B34" s="4"/>
      <c r="C34" s="5"/>
      <c r="D34" s="6">
        <f t="shared" si="1"/>
        <v>0</v>
      </c>
      <c r="E34" s="4"/>
      <c r="F34" s="37"/>
      <c r="G34" s="37"/>
      <c r="H34" s="37"/>
      <c r="I34" s="37"/>
      <c r="J34" s="37"/>
      <c r="K34" s="37"/>
      <c r="L34" s="193"/>
      <c r="M34" s="193"/>
      <c r="N34" s="193"/>
      <c r="O34" s="193"/>
      <c r="P34" s="193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21"/>
      <c r="AC34" s="21"/>
      <c r="AD34" s="21"/>
      <c r="AM34" s="30" t="s">
        <v>103</v>
      </c>
      <c r="AN34" s="130">
        <v>0.34</v>
      </c>
    </row>
    <row r="35" spans="1:40" ht="30" customHeight="1" x14ac:dyDescent="0.25">
      <c r="A35" s="1">
        <v>16</v>
      </c>
      <c r="B35" s="4"/>
      <c r="C35" s="5"/>
      <c r="D35" s="6">
        <f t="shared" si="1"/>
        <v>0</v>
      </c>
      <c r="E35" s="4"/>
      <c r="F35" s="37"/>
      <c r="G35" s="37"/>
      <c r="H35" s="37"/>
      <c r="I35" s="37"/>
      <c r="J35" s="37"/>
      <c r="K35" s="37"/>
      <c r="L35" s="193"/>
      <c r="M35" s="193"/>
      <c r="N35" s="193"/>
      <c r="O35" s="193"/>
      <c r="P35" s="193"/>
      <c r="Q35" s="191"/>
      <c r="R35" s="191"/>
      <c r="S35" s="191"/>
      <c r="T35" s="191"/>
      <c r="U35" s="191"/>
      <c r="V35" s="191"/>
      <c r="W35" s="191"/>
      <c r="X35" s="191"/>
      <c r="Y35" s="191"/>
      <c r="Z35" s="191"/>
      <c r="AA35" s="191"/>
      <c r="AB35" s="21"/>
      <c r="AC35" s="21"/>
      <c r="AD35" s="21"/>
      <c r="AM35" s="30" t="s">
        <v>104</v>
      </c>
      <c r="AN35" s="130">
        <v>0.35</v>
      </c>
    </row>
    <row r="36" spans="1:40" ht="30" customHeight="1" x14ac:dyDescent="0.25">
      <c r="A36" s="1">
        <v>17</v>
      </c>
      <c r="B36" s="4"/>
      <c r="C36" s="5"/>
      <c r="D36" s="6">
        <f t="shared" si="1"/>
        <v>0</v>
      </c>
      <c r="E36" s="4"/>
      <c r="F36" s="37"/>
      <c r="G36" s="37"/>
      <c r="H36" s="37"/>
      <c r="I36" s="37"/>
      <c r="J36" s="37"/>
      <c r="K36" s="37"/>
      <c r="L36" s="193"/>
      <c r="M36" s="193"/>
      <c r="N36" s="193"/>
      <c r="O36" s="193"/>
      <c r="P36" s="193"/>
      <c r="Q36" s="191"/>
      <c r="R36" s="191"/>
      <c r="S36" s="191"/>
      <c r="T36" s="191"/>
      <c r="U36" s="191"/>
      <c r="V36" s="191"/>
      <c r="W36" s="191"/>
      <c r="X36" s="191"/>
      <c r="Y36" s="191"/>
      <c r="Z36" s="191"/>
      <c r="AA36" s="191"/>
      <c r="AB36" s="21"/>
      <c r="AC36" s="21"/>
      <c r="AD36" s="21"/>
      <c r="AM36" s="22" t="s">
        <v>105</v>
      </c>
      <c r="AN36" s="130">
        <v>0.36</v>
      </c>
    </row>
    <row r="37" spans="1:40" ht="30" customHeight="1" x14ac:dyDescent="0.25">
      <c r="A37" s="1">
        <v>18</v>
      </c>
      <c r="B37" s="4"/>
      <c r="C37" s="5"/>
      <c r="D37" s="6">
        <f t="shared" si="1"/>
        <v>0</v>
      </c>
      <c r="E37" s="4"/>
      <c r="F37" s="37"/>
      <c r="G37" s="37"/>
      <c r="H37" s="37"/>
      <c r="I37" s="37"/>
      <c r="J37" s="37"/>
      <c r="K37" s="37"/>
      <c r="L37" s="193"/>
      <c r="M37" s="193"/>
      <c r="N37" s="193"/>
      <c r="O37" s="193"/>
      <c r="P37" s="193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  <c r="AB37" s="21"/>
      <c r="AC37" s="21"/>
      <c r="AD37" s="21"/>
      <c r="AM37" s="22" t="s">
        <v>106</v>
      </c>
      <c r="AN37" s="130">
        <v>0.37</v>
      </c>
    </row>
    <row r="38" spans="1:40" ht="30" customHeight="1" x14ac:dyDescent="0.25">
      <c r="A38" s="1">
        <v>19</v>
      </c>
      <c r="B38" s="4"/>
      <c r="C38" s="5"/>
      <c r="D38" s="6">
        <f t="shared" si="1"/>
        <v>0</v>
      </c>
      <c r="E38" s="4"/>
      <c r="F38" s="37"/>
      <c r="G38" s="37"/>
      <c r="H38" s="37"/>
      <c r="I38" s="37"/>
      <c r="J38" s="37"/>
      <c r="K38" s="37"/>
      <c r="L38" s="193"/>
      <c r="M38" s="193"/>
      <c r="N38" s="193"/>
      <c r="O38" s="193"/>
      <c r="P38" s="193"/>
      <c r="Q38" s="191"/>
      <c r="R38" s="191"/>
      <c r="S38" s="191"/>
      <c r="T38" s="191"/>
      <c r="U38" s="191"/>
      <c r="V38" s="191"/>
      <c r="W38" s="191"/>
      <c r="X38" s="191"/>
      <c r="Y38" s="191"/>
      <c r="Z38" s="191"/>
      <c r="AA38" s="191"/>
      <c r="AB38" s="21"/>
      <c r="AC38" s="21"/>
      <c r="AD38" s="21"/>
      <c r="AM38" s="22" t="s">
        <v>107</v>
      </c>
      <c r="AN38" s="130">
        <v>0.38</v>
      </c>
    </row>
    <row r="39" spans="1:40" ht="30" customHeight="1" x14ac:dyDescent="0.25">
      <c r="A39" s="1">
        <v>20</v>
      </c>
      <c r="B39" s="4"/>
      <c r="C39" s="5"/>
      <c r="D39" s="6">
        <f t="shared" si="1"/>
        <v>0</v>
      </c>
      <c r="E39" s="4"/>
      <c r="F39" s="37"/>
      <c r="G39" s="37"/>
      <c r="H39" s="37"/>
      <c r="I39" s="37"/>
      <c r="J39" s="37"/>
      <c r="K39" s="37"/>
      <c r="L39" s="193"/>
      <c r="M39" s="193"/>
      <c r="N39" s="193"/>
      <c r="O39" s="193"/>
      <c r="P39" s="193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21"/>
      <c r="AC39" s="21"/>
      <c r="AD39" s="21"/>
      <c r="AM39" s="22" t="s">
        <v>108</v>
      </c>
      <c r="AN39" s="130">
        <v>0.39</v>
      </c>
    </row>
    <row r="40" spans="1:40" ht="30" customHeight="1" x14ac:dyDescent="0.25">
      <c r="A40" s="1">
        <v>21</v>
      </c>
      <c r="B40" s="4"/>
      <c r="C40" s="5"/>
      <c r="D40" s="6">
        <f t="shared" si="1"/>
        <v>0</v>
      </c>
      <c r="E40" s="4"/>
      <c r="F40" s="37"/>
      <c r="G40" s="37"/>
      <c r="H40" s="37"/>
      <c r="I40" s="37"/>
      <c r="J40" s="37"/>
      <c r="K40" s="37"/>
      <c r="L40" s="193"/>
      <c r="M40" s="193"/>
      <c r="N40" s="193"/>
      <c r="O40" s="193"/>
      <c r="P40" s="193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21"/>
      <c r="AC40" s="21"/>
      <c r="AD40" s="21"/>
      <c r="AN40" s="130">
        <v>0.4</v>
      </c>
    </row>
    <row r="41" spans="1:40" ht="30" customHeight="1" x14ac:dyDescent="0.25">
      <c r="A41" s="1">
        <v>22</v>
      </c>
      <c r="B41" s="4"/>
      <c r="C41" s="5"/>
      <c r="D41" s="6">
        <f t="shared" si="1"/>
        <v>0</v>
      </c>
      <c r="E41" s="4"/>
      <c r="F41" s="37"/>
      <c r="G41" s="37"/>
      <c r="H41" s="37"/>
      <c r="I41" s="37"/>
      <c r="J41" s="37"/>
      <c r="K41" s="37"/>
      <c r="L41" s="193"/>
      <c r="M41" s="193"/>
      <c r="N41" s="193"/>
      <c r="O41" s="193"/>
      <c r="P41" s="193"/>
      <c r="Q41" s="191"/>
      <c r="R41" s="191"/>
      <c r="S41" s="191"/>
      <c r="T41" s="191"/>
      <c r="U41" s="191"/>
      <c r="V41" s="191"/>
      <c r="W41" s="191"/>
      <c r="X41" s="191"/>
      <c r="Y41" s="191"/>
      <c r="Z41" s="191"/>
      <c r="AA41" s="191"/>
      <c r="AB41" s="21"/>
      <c r="AC41" s="21"/>
      <c r="AD41" s="21"/>
      <c r="AN41" s="130">
        <v>0.41</v>
      </c>
    </row>
    <row r="42" spans="1:40" ht="30" customHeight="1" x14ac:dyDescent="0.25">
      <c r="A42" s="1">
        <v>23</v>
      </c>
      <c r="B42" s="4"/>
      <c r="C42" s="5"/>
      <c r="D42" s="6">
        <f t="shared" si="1"/>
        <v>0</v>
      </c>
      <c r="E42" s="4"/>
      <c r="F42" s="37"/>
      <c r="G42" s="37"/>
      <c r="H42" s="37"/>
      <c r="I42" s="37"/>
      <c r="J42" s="37"/>
      <c r="K42" s="37"/>
      <c r="L42" s="193"/>
      <c r="M42" s="193"/>
      <c r="N42" s="193"/>
      <c r="O42" s="193"/>
      <c r="P42" s="193"/>
      <c r="Q42" s="191"/>
      <c r="R42" s="191"/>
      <c r="S42" s="191"/>
      <c r="T42" s="191"/>
      <c r="U42" s="191"/>
      <c r="V42" s="191"/>
      <c r="W42" s="191"/>
      <c r="X42" s="191"/>
      <c r="Y42" s="191"/>
      <c r="Z42" s="191"/>
      <c r="AA42" s="191"/>
      <c r="AB42" s="21"/>
      <c r="AC42" s="21"/>
      <c r="AD42" s="21"/>
      <c r="AN42" s="130">
        <v>0.42</v>
      </c>
    </row>
    <row r="43" spans="1:40" ht="30" customHeight="1" x14ac:dyDescent="0.25">
      <c r="A43" s="1">
        <v>24</v>
      </c>
      <c r="B43" s="4"/>
      <c r="C43" s="5"/>
      <c r="D43" s="6">
        <f t="shared" si="1"/>
        <v>0</v>
      </c>
      <c r="E43" s="4"/>
      <c r="F43" s="37"/>
      <c r="G43" s="37"/>
      <c r="H43" s="37"/>
      <c r="I43" s="37"/>
      <c r="J43" s="37"/>
      <c r="K43" s="37"/>
      <c r="L43" s="193"/>
      <c r="M43" s="193"/>
      <c r="N43" s="193"/>
      <c r="O43" s="193"/>
      <c r="P43" s="193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21"/>
      <c r="AC43" s="21"/>
      <c r="AD43" s="21"/>
      <c r="AN43" s="130">
        <v>0.43</v>
      </c>
    </row>
    <row r="44" spans="1:40" ht="30" customHeight="1" x14ac:dyDescent="0.25">
      <c r="A44" s="1">
        <v>25</v>
      </c>
      <c r="B44" s="4"/>
      <c r="C44" s="5"/>
      <c r="D44" s="6">
        <f t="shared" si="1"/>
        <v>0</v>
      </c>
      <c r="E44" s="4"/>
      <c r="F44" s="37"/>
      <c r="G44" s="37"/>
      <c r="H44" s="37"/>
      <c r="I44" s="37"/>
      <c r="J44" s="37"/>
      <c r="K44" s="37"/>
      <c r="L44" s="193"/>
      <c r="M44" s="193"/>
      <c r="N44" s="193"/>
      <c r="O44" s="193"/>
      <c r="P44" s="193"/>
      <c r="Q44" s="191"/>
      <c r="R44" s="191"/>
      <c r="S44" s="191"/>
      <c r="T44" s="191"/>
      <c r="U44" s="191"/>
      <c r="V44" s="191"/>
      <c r="W44" s="191"/>
      <c r="X44" s="191"/>
      <c r="Y44" s="191"/>
      <c r="Z44" s="191"/>
      <c r="AA44" s="191"/>
      <c r="AB44" s="21"/>
      <c r="AC44" s="21"/>
      <c r="AD44" s="21"/>
      <c r="AN44" s="130">
        <v>0.44</v>
      </c>
    </row>
    <row r="45" spans="1:40" ht="30" customHeight="1" x14ac:dyDescent="0.25">
      <c r="A45" s="1">
        <v>26</v>
      </c>
      <c r="B45" s="4"/>
      <c r="C45" s="5"/>
      <c r="D45" s="6">
        <f t="shared" si="1"/>
        <v>0</v>
      </c>
      <c r="E45" s="4"/>
      <c r="F45" s="37"/>
      <c r="G45" s="37"/>
      <c r="H45" s="37"/>
      <c r="I45" s="37"/>
      <c r="J45" s="37"/>
      <c r="K45" s="37"/>
      <c r="L45" s="193"/>
      <c r="M45" s="193"/>
      <c r="N45" s="193"/>
      <c r="O45" s="193"/>
      <c r="P45" s="193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1"/>
      <c r="AB45" s="21"/>
      <c r="AC45" s="21"/>
      <c r="AD45" s="21"/>
      <c r="AN45" s="130">
        <v>0.45</v>
      </c>
    </row>
    <row r="46" spans="1:40" ht="30" customHeight="1" x14ac:dyDescent="0.25">
      <c r="A46" s="1">
        <v>27</v>
      </c>
      <c r="B46" s="4"/>
      <c r="C46" s="5"/>
      <c r="D46" s="6">
        <f t="shared" si="1"/>
        <v>0</v>
      </c>
      <c r="E46" s="4"/>
      <c r="F46" s="37"/>
      <c r="G46" s="37"/>
      <c r="H46" s="37"/>
      <c r="I46" s="37"/>
      <c r="J46" s="37"/>
      <c r="K46" s="37"/>
      <c r="L46" s="193"/>
      <c r="M46" s="193"/>
      <c r="N46" s="193"/>
      <c r="O46" s="193"/>
      <c r="P46" s="193"/>
      <c r="Q46" s="191"/>
      <c r="R46" s="191"/>
      <c r="S46" s="191"/>
      <c r="T46" s="191"/>
      <c r="U46" s="191"/>
      <c r="V46" s="191"/>
      <c r="W46" s="191"/>
      <c r="X46" s="191"/>
      <c r="Y46" s="191"/>
      <c r="Z46" s="191"/>
      <c r="AA46" s="191"/>
      <c r="AB46" s="21"/>
      <c r="AC46" s="21"/>
      <c r="AD46" s="21"/>
      <c r="AN46" s="130">
        <v>0.46</v>
      </c>
    </row>
    <row r="47" spans="1:40" ht="30" customHeight="1" x14ac:dyDescent="0.25">
      <c r="A47" s="1">
        <v>28</v>
      </c>
      <c r="B47" s="4"/>
      <c r="C47" s="5"/>
      <c r="D47" s="6">
        <f t="shared" si="1"/>
        <v>0</v>
      </c>
      <c r="E47" s="4"/>
      <c r="F47" s="37"/>
      <c r="G47" s="37"/>
      <c r="H47" s="37"/>
      <c r="I47" s="37"/>
      <c r="J47" s="37"/>
      <c r="K47" s="37"/>
      <c r="L47" s="193"/>
      <c r="M47" s="193"/>
      <c r="N47" s="193"/>
      <c r="O47" s="193"/>
      <c r="P47" s="193"/>
      <c r="Q47" s="191"/>
      <c r="R47" s="191"/>
      <c r="S47" s="191"/>
      <c r="T47" s="191"/>
      <c r="U47" s="191"/>
      <c r="V47" s="191"/>
      <c r="W47" s="191"/>
      <c r="X47" s="191"/>
      <c r="Y47" s="191"/>
      <c r="Z47" s="191"/>
      <c r="AA47" s="191"/>
      <c r="AB47" s="21"/>
      <c r="AC47" s="21"/>
      <c r="AD47" s="21"/>
      <c r="AN47" s="130">
        <v>0.47</v>
      </c>
    </row>
    <row r="48" spans="1:40" ht="30" customHeight="1" x14ac:dyDescent="0.25">
      <c r="A48" s="1">
        <v>29</v>
      </c>
      <c r="B48" s="4"/>
      <c r="C48" s="5"/>
      <c r="D48" s="6">
        <f t="shared" si="1"/>
        <v>0</v>
      </c>
      <c r="E48" s="4"/>
      <c r="F48" s="37"/>
      <c r="G48" s="37"/>
      <c r="H48" s="37"/>
      <c r="I48" s="37"/>
      <c r="J48" s="37"/>
      <c r="K48" s="37"/>
      <c r="L48" s="193"/>
      <c r="M48" s="193"/>
      <c r="N48" s="193"/>
      <c r="O48" s="193"/>
      <c r="P48" s="193"/>
      <c r="Q48" s="191"/>
      <c r="R48" s="191"/>
      <c r="S48" s="191"/>
      <c r="T48" s="191"/>
      <c r="U48" s="191"/>
      <c r="V48" s="191"/>
      <c r="W48" s="191"/>
      <c r="X48" s="191"/>
      <c r="Y48" s="191"/>
      <c r="Z48" s="191"/>
      <c r="AA48" s="191"/>
      <c r="AB48" s="21"/>
      <c r="AC48" s="21"/>
      <c r="AD48" s="21"/>
      <c r="AN48" s="130">
        <v>0.48</v>
      </c>
    </row>
    <row r="49" spans="1:40" ht="30" customHeight="1" x14ac:dyDescent="0.25">
      <c r="A49" s="1">
        <v>30</v>
      </c>
      <c r="B49" s="4"/>
      <c r="C49" s="5"/>
      <c r="D49" s="6">
        <f t="shared" si="1"/>
        <v>0</v>
      </c>
      <c r="E49" s="4"/>
      <c r="F49" s="37"/>
      <c r="G49" s="37"/>
      <c r="H49" s="37"/>
      <c r="I49" s="37"/>
      <c r="J49" s="37"/>
      <c r="K49" s="37"/>
      <c r="L49" s="193"/>
      <c r="M49" s="193"/>
      <c r="N49" s="193"/>
      <c r="O49" s="193"/>
      <c r="P49" s="193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21"/>
      <c r="AC49" s="21"/>
      <c r="AD49" s="21"/>
      <c r="AN49" s="130">
        <v>0.49</v>
      </c>
    </row>
    <row r="50" spans="1:40" ht="30" customHeight="1" x14ac:dyDescent="0.25">
      <c r="A50" s="1">
        <v>31</v>
      </c>
      <c r="B50" s="4"/>
      <c r="C50" s="5"/>
      <c r="D50" s="6">
        <f t="shared" si="1"/>
        <v>0</v>
      </c>
      <c r="E50" s="4"/>
      <c r="F50" s="37"/>
      <c r="G50" s="37"/>
      <c r="H50" s="37"/>
      <c r="I50" s="37"/>
      <c r="J50" s="37"/>
      <c r="K50" s="37"/>
      <c r="L50" s="193"/>
      <c r="M50" s="193"/>
      <c r="N50" s="193"/>
      <c r="O50" s="193"/>
      <c r="P50" s="193"/>
      <c r="Q50" s="191"/>
      <c r="R50" s="191"/>
      <c r="S50" s="191"/>
      <c r="T50" s="191"/>
      <c r="U50" s="191"/>
      <c r="V50" s="191"/>
      <c r="W50" s="191"/>
      <c r="X50" s="191"/>
      <c r="Y50" s="191"/>
      <c r="Z50" s="191"/>
      <c r="AA50" s="191"/>
      <c r="AB50" s="21"/>
      <c r="AC50" s="21"/>
      <c r="AD50" s="21"/>
      <c r="AN50" s="130">
        <v>0.5</v>
      </c>
    </row>
    <row r="51" spans="1:40" s="24" customFormat="1" ht="30" customHeight="1" x14ac:dyDescent="0.25">
      <c r="A51" s="185" t="s">
        <v>1</v>
      </c>
      <c r="B51" s="186"/>
      <c r="C51" s="187"/>
      <c r="D51" s="8">
        <f t="shared" ref="D51:K51" si="2">SUM(D20:D50)</f>
        <v>0</v>
      </c>
      <c r="E51" s="8">
        <f>SUM(E20:E50)</f>
        <v>0</v>
      </c>
      <c r="F51" s="8">
        <f>SUM(F20:F50)</f>
        <v>0</v>
      </c>
      <c r="G51" s="3">
        <f t="shared" si="2"/>
        <v>0</v>
      </c>
      <c r="H51" s="42">
        <f t="shared" si="2"/>
        <v>0</v>
      </c>
      <c r="I51" s="42">
        <f t="shared" si="2"/>
        <v>0</v>
      </c>
      <c r="J51" s="42">
        <f t="shared" si="2"/>
        <v>0</v>
      </c>
      <c r="K51" s="42">
        <f t="shared" si="2"/>
        <v>0</v>
      </c>
      <c r="L51" s="245">
        <f>SUM(L20:P50)</f>
        <v>0</v>
      </c>
      <c r="M51" s="245"/>
      <c r="N51" s="245"/>
      <c r="O51" s="245"/>
      <c r="P51" s="245"/>
      <c r="Q51" s="244"/>
      <c r="R51" s="244"/>
      <c r="S51" s="244"/>
      <c r="T51" s="244"/>
      <c r="U51" s="244"/>
      <c r="V51" s="244"/>
      <c r="W51" s="244"/>
      <c r="X51" s="244"/>
      <c r="Y51" s="244"/>
      <c r="Z51" s="244"/>
      <c r="AA51" s="244"/>
      <c r="AB51" s="15"/>
      <c r="AC51" s="15"/>
      <c r="AD51" s="15"/>
      <c r="AN51" s="130">
        <v>0.51</v>
      </c>
    </row>
    <row r="52" spans="1:40" ht="11.25" customHeight="1" x14ac:dyDescent="0.25">
      <c r="A52" s="69"/>
      <c r="B52" s="70"/>
      <c r="C52" s="71"/>
      <c r="D52" s="72"/>
      <c r="E52" s="73"/>
      <c r="F52" s="61"/>
      <c r="G52" s="74"/>
      <c r="H52" s="53"/>
      <c r="I52" s="53"/>
      <c r="J52" s="53"/>
      <c r="K52" s="53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3"/>
      <c r="AB52" s="25"/>
      <c r="AC52" s="25"/>
      <c r="AD52" s="25"/>
      <c r="AN52" s="130">
        <v>0.52</v>
      </c>
    </row>
    <row r="53" spans="1:40" ht="16.5" customHeight="1" x14ac:dyDescent="0.25">
      <c r="A53" s="75" t="s">
        <v>28</v>
      </c>
      <c r="B53" s="76"/>
      <c r="C53" s="76" t="s">
        <v>6</v>
      </c>
      <c r="D53" s="132">
        <f>IF(ISNUMBER(MATCH(J13,{"PRIVATE CAR (NO ALLOWANCE)","ELECTRIC VEHICLE (NO ALLOWANCE)","ELECTRIC VEHICLE (WITH ALLOWANCE) - HOME CHARGE","MOTORCYCLE"},0)),X13,IF(ISNUMBER(MATCH(J13,{"PRIVATE CAR (WITH ALLOWANCE - PETROL)","PRIVATE CAR (WITH ALLOWANCE - DIESEL)","ELECTRIC VEHICLE (WITH ALLOWANCE) - STATION CHARGE","COMPANY CAR - PETROL","COMPANY CAR - DIESEL","ELECTRIC VEHICLE (NO ALLOWANCE)"},0)),IFERROR(MIN(F51/D51,X13),"0.00"),IFERROR(F51/D51,"0.00")))</f>
        <v>0.3</v>
      </c>
      <c r="E53" s="116"/>
      <c r="F53" s="164" t="s">
        <v>44</v>
      </c>
      <c r="G53" s="165"/>
      <c r="H53" s="166"/>
      <c r="I53" s="155" t="s">
        <v>45</v>
      </c>
      <c r="J53" s="156"/>
      <c r="K53" s="156"/>
      <c r="L53" s="156"/>
      <c r="M53" s="156"/>
      <c r="N53" s="156"/>
      <c r="O53" s="157"/>
      <c r="P53" s="155" t="s">
        <v>46</v>
      </c>
      <c r="Q53" s="156"/>
      <c r="R53" s="156"/>
      <c r="S53" s="156"/>
      <c r="T53" s="156"/>
      <c r="U53" s="156"/>
      <c r="V53" s="156"/>
      <c r="W53" s="156"/>
      <c r="X53" s="156"/>
      <c r="Y53" s="156"/>
      <c r="Z53" s="156"/>
      <c r="AA53" s="157"/>
      <c r="AB53" s="25"/>
      <c r="AC53" s="25"/>
      <c r="AD53" s="25"/>
      <c r="AN53" s="130">
        <v>0.53</v>
      </c>
    </row>
    <row r="54" spans="1:40" ht="11.25" customHeight="1" x14ac:dyDescent="0.25">
      <c r="A54" s="75"/>
      <c r="B54" s="2"/>
      <c r="C54" s="2"/>
      <c r="D54" s="27"/>
      <c r="E54" s="102"/>
      <c r="F54" s="167"/>
      <c r="G54" s="168"/>
      <c r="H54" s="169"/>
      <c r="I54" s="158"/>
      <c r="J54" s="159"/>
      <c r="K54" s="159"/>
      <c r="L54" s="159"/>
      <c r="M54" s="159"/>
      <c r="N54" s="159"/>
      <c r="O54" s="160"/>
      <c r="P54" s="158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60"/>
      <c r="AB54" s="25"/>
      <c r="AC54" s="25"/>
      <c r="AD54" s="25"/>
      <c r="AN54" s="130">
        <v>0.54</v>
      </c>
    </row>
    <row r="55" spans="1:40" ht="16.5" customHeight="1" x14ac:dyDescent="0.25">
      <c r="A55" s="77" t="s">
        <v>7</v>
      </c>
      <c r="B55" s="76"/>
      <c r="C55" s="76"/>
      <c r="D55" s="78"/>
      <c r="E55" s="102"/>
      <c r="F55" s="170"/>
      <c r="G55" s="171"/>
      <c r="H55" s="172"/>
      <c r="I55" s="161"/>
      <c r="J55" s="162"/>
      <c r="K55" s="162"/>
      <c r="L55" s="162"/>
      <c r="M55" s="162"/>
      <c r="N55" s="162"/>
      <c r="O55" s="163"/>
      <c r="P55" s="161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3"/>
      <c r="AB55" s="25"/>
      <c r="AC55" s="25"/>
      <c r="AD55" s="25"/>
      <c r="AN55" s="130">
        <v>0.55000000000000004</v>
      </c>
    </row>
    <row r="56" spans="1:40" ht="16.5" customHeight="1" x14ac:dyDescent="0.25">
      <c r="A56" s="79" t="s">
        <v>16</v>
      </c>
      <c r="B56" s="80"/>
      <c r="C56" s="76" t="s">
        <v>6</v>
      </c>
      <c r="D56" s="81">
        <f>IFERROR(IF(J13="MOTORCYCLE", D51*D53,IF(J13="PRIVATE CAR (WITH ALLOWANCE - PETROL)", D51*D53,D51*D53)),"0.00")</f>
        <v>0</v>
      </c>
      <c r="E56" s="103"/>
      <c r="F56" s="106"/>
      <c r="G56" s="103"/>
      <c r="H56" s="105"/>
      <c r="I56" s="176"/>
      <c r="J56" s="177"/>
      <c r="K56" s="177"/>
      <c r="L56" s="177"/>
      <c r="M56" s="177"/>
      <c r="N56" s="177"/>
      <c r="O56" s="178"/>
      <c r="P56" s="173"/>
      <c r="Q56" s="174"/>
      <c r="R56" s="174"/>
      <c r="S56" s="174"/>
      <c r="T56" s="174"/>
      <c r="U56" s="174"/>
      <c r="V56" s="174"/>
      <c r="W56" s="174"/>
      <c r="X56" s="174"/>
      <c r="Y56" s="174"/>
      <c r="Z56" s="174"/>
      <c r="AA56" s="175"/>
      <c r="AB56" s="25"/>
      <c r="AC56" s="25"/>
      <c r="AD56" s="25"/>
      <c r="AN56" s="130">
        <v>0.56000000000000005</v>
      </c>
    </row>
    <row r="57" spans="1:40" ht="16.5" customHeight="1" x14ac:dyDescent="0.25">
      <c r="A57" s="79" t="s">
        <v>2</v>
      </c>
      <c r="B57" s="80"/>
      <c r="C57" s="76" t="s">
        <v>6</v>
      </c>
      <c r="D57" s="81">
        <f>G51</f>
        <v>0</v>
      </c>
      <c r="E57" s="100"/>
      <c r="F57" s="99"/>
      <c r="G57" s="100"/>
      <c r="H57" s="101"/>
      <c r="I57" s="176"/>
      <c r="J57" s="177"/>
      <c r="K57" s="177"/>
      <c r="L57" s="177"/>
      <c r="M57" s="177"/>
      <c r="N57" s="177"/>
      <c r="O57" s="178"/>
      <c r="P57" s="173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5"/>
      <c r="AB57" s="25"/>
      <c r="AC57" s="25"/>
      <c r="AD57" s="25"/>
      <c r="AN57" s="130">
        <v>0.56999999999999995</v>
      </c>
    </row>
    <row r="58" spans="1:40" ht="16.5" customHeight="1" x14ac:dyDescent="0.25">
      <c r="A58" s="79" t="s">
        <v>3</v>
      </c>
      <c r="B58" s="80"/>
      <c r="C58" s="76" t="s">
        <v>6</v>
      </c>
      <c r="D58" s="81">
        <f>H51</f>
        <v>0</v>
      </c>
      <c r="E58" s="100"/>
      <c r="F58" s="99"/>
      <c r="G58" s="100"/>
      <c r="H58" s="101"/>
      <c r="I58" s="176"/>
      <c r="J58" s="177"/>
      <c r="K58" s="177"/>
      <c r="L58" s="177"/>
      <c r="M58" s="177"/>
      <c r="N58" s="177"/>
      <c r="O58" s="178"/>
      <c r="P58" s="173"/>
      <c r="Q58" s="174"/>
      <c r="R58" s="174"/>
      <c r="S58" s="174"/>
      <c r="T58" s="174"/>
      <c r="U58" s="174"/>
      <c r="V58" s="174"/>
      <c r="W58" s="174"/>
      <c r="X58" s="174"/>
      <c r="Y58" s="174"/>
      <c r="Z58" s="174"/>
      <c r="AA58" s="175"/>
      <c r="AB58" s="25"/>
      <c r="AC58" s="25"/>
      <c r="AD58" s="25"/>
      <c r="AN58" s="130">
        <v>0.57999999999999996</v>
      </c>
    </row>
    <row r="59" spans="1:40" ht="16.5" customHeight="1" x14ac:dyDescent="0.25">
      <c r="A59" s="75" t="s">
        <v>21</v>
      </c>
      <c r="B59" s="80"/>
      <c r="C59" s="76" t="s">
        <v>6</v>
      </c>
      <c r="D59" s="81">
        <f>I51</f>
        <v>0</v>
      </c>
      <c r="E59" s="100"/>
      <c r="F59" s="99"/>
      <c r="G59" s="100"/>
      <c r="H59" s="101"/>
      <c r="I59" s="176"/>
      <c r="J59" s="177"/>
      <c r="K59" s="177"/>
      <c r="L59" s="177"/>
      <c r="M59" s="177"/>
      <c r="N59" s="177"/>
      <c r="O59" s="178"/>
      <c r="P59" s="173"/>
      <c r="Q59" s="174"/>
      <c r="R59" s="174"/>
      <c r="S59" s="174"/>
      <c r="T59" s="174"/>
      <c r="U59" s="174"/>
      <c r="V59" s="174"/>
      <c r="W59" s="174"/>
      <c r="X59" s="174"/>
      <c r="Y59" s="174"/>
      <c r="Z59" s="174"/>
      <c r="AA59" s="175"/>
      <c r="AB59" s="25"/>
      <c r="AC59" s="25"/>
      <c r="AD59" s="25"/>
      <c r="AN59" s="130">
        <v>0.59</v>
      </c>
    </row>
    <row r="60" spans="1:40" ht="16.5" customHeight="1" x14ac:dyDescent="0.25">
      <c r="A60" s="75" t="s">
        <v>20</v>
      </c>
      <c r="C60" s="76" t="s">
        <v>6</v>
      </c>
      <c r="D60" s="82">
        <f>J51</f>
        <v>0</v>
      </c>
      <c r="E60" s="100"/>
      <c r="F60" s="99"/>
      <c r="G60" s="100"/>
      <c r="H60" s="101"/>
      <c r="I60" s="176"/>
      <c r="J60" s="177"/>
      <c r="K60" s="177"/>
      <c r="L60" s="177"/>
      <c r="M60" s="177"/>
      <c r="N60" s="177"/>
      <c r="O60" s="178"/>
      <c r="P60" s="173"/>
      <c r="Q60" s="174"/>
      <c r="R60" s="174"/>
      <c r="S60" s="174"/>
      <c r="T60" s="174"/>
      <c r="U60" s="174"/>
      <c r="V60" s="174"/>
      <c r="W60" s="174"/>
      <c r="X60" s="174"/>
      <c r="Y60" s="174"/>
      <c r="Z60" s="174"/>
      <c r="AA60" s="175"/>
      <c r="AB60" s="25"/>
      <c r="AC60" s="25"/>
      <c r="AD60" s="25"/>
      <c r="AN60" s="130">
        <v>0.6</v>
      </c>
    </row>
    <row r="61" spans="1:40" ht="16.5" customHeight="1" x14ac:dyDescent="0.25">
      <c r="A61" s="75" t="s">
        <v>61</v>
      </c>
      <c r="C61" s="76" t="s">
        <v>6</v>
      </c>
      <c r="D61" s="82">
        <f>K51</f>
        <v>0</v>
      </c>
      <c r="E61" s="100"/>
      <c r="F61" s="99"/>
      <c r="G61" s="100"/>
      <c r="H61" s="101"/>
      <c r="I61" s="120"/>
      <c r="J61" s="121"/>
      <c r="K61" s="121"/>
      <c r="L61" s="121"/>
      <c r="M61" s="121"/>
      <c r="N61" s="121"/>
      <c r="O61" s="122"/>
      <c r="P61" s="117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9"/>
      <c r="AB61" s="25"/>
      <c r="AC61" s="25"/>
      <c r="AD61" s="25"/>
      <c r="AN61" s="130">
        <v>0.61</v>
      </c>
    </row>
    <row r="62" spans="1:40" ht="16.5" customHeight="1" x14ac:dyDescent="0.25">
      <c r="A62" s="75" t="s">
        <v>19</v>
      </c>
      <c r="B62" s="80"/>
      <c r="C62" s="76" t="s">
        <v>6</v>
      </c>
      <c r="D62" s="81">
        <f>L51</f>
        <v>0</v>
      </c>
      <c r="E62" s="104"/>
      <c r="F62" s="179" t="s">
        <v>29</v>
      </c>
      <c r="G62" s="180"/>
      <c r="H62" s="181"/>
      <c r="I62" s="179" t="s">
        <v>29</v>
      </c>
      <c r="J62" s="180"/>
      <c r="K62" s="180"/>
      <c r="L62" s="180"/>
      <c r="M62" s="180"/>
      <c r="N62" s="180"/>
      <c r="O62" s="181"/>
      <c r="P62" s="149" t="s">
        <v>29</v>
      </c>
      <c r="Q62" s="150"/>
      <c r="R62" s="150"/>
      <c r="S62" s="150"/>
      <c r="T62" s="150"/>
      <c r="U62" s="150"/>
      <c r="V62" s="150"/>
      <c r="W62" s="150"/>
      <c r="X62" s="150"/>
      <c r="Y62" s="150"/>
      <c r="Z62" s="150"/>
      <c r="AA62" s="151"/>
      <c r="AB62" s="25"/>
      <c r="AC62" s="25"/>
      <c r="AD62" s="25"/>
      <c r="AN62" s="130">
        <v>0.62</v>
      </c>
    </row>
    <row r="63" spans="1:40" ht="16.5" customHeight="1" x14ac:dyDescent="0.25">
      <c r="A63" s="75" t="s">
        <v>8</v>
      </c>
      <c r="B63" s="76"/>
      <c r="C63" s="76" t="s">
        <v>6</v>
      </c>
      <c r="D63" s="82">
        <f>SUM(D56:D62)</f>
        <v>0</v>
      </c>
      <c r="E63" s="104"/>
      <c r="F63" s="182" t="s">
        <v>31</v>
      </c>
      <c r="G63" s="183"/>
      <c r="H63" s="184"/>
      <c r="I63" s="182" t="s">
        <v>31</v>
      </c>
      <c r="J63" s="183"/>
      <c r="K63" s="183"/>
      <c r="L63" s="183"/>
      <c r="M63" s="183"/>
      <c r="N63" s="183"/>
      <c r="O63" s="184"/>
      <c r="P63" s="152" t="s">
        <v>31</v>
      </c>
      <c r="Q63" s="153"/>
      <c r="R63" s="153"/>
      <c r="S63" s="153"/>
      <c r="T63" s="153"/>
      <c r="U63" s="153"/>
      <c r="V63" s="153"/>
      <c r="W63" s="153"/>
      <c r="X63" s="153"/>
      <c r="Y63" s="153"/>
      <c r="Z63" s="153"/>
      <c r="AA63" s="154"/>
      <c r="AB63" s="25"/>
      <c r="AC63" s="25"/>
      <c r="AD63" s="25"/>
      <c r="AN63" s="130">
        <v>0.63</v>
      </c>
    </row>
    <row r="64" spans="1:40" ht="16.5" customHeight="1" x14ac:dyDescent="0.25">
      <c r="A64" s="83" t="s">
        <v>17</v>
      </c>
      <c r="B64" s="2"/>
      <c r="C64" s="76" t="s">
        <v>6</v>
      </c>
      <c r="D64" s="82">
        <f>IFERROR(SUM(E51*D53),"0.00")</f>
        <v>0</v>
      </c>
      <c r="E64" s="216"/>
      <c r="F64" s="216"/>
      <c r="G64" s="216"/>
      <c r="H64" s="216"/>
      <c r="I64" s="216"/>
      <c r="J64" s="216"/>
      <c r="K64" s="84"/>
      <c r="L64" s="216"/>
      <c r="M64" s="216"/>
      <c r="N64" s="216"/>
      <c r="O64" s="216"/>
      <c r="P64" s="216"/>
      <c r="Q64" s="216"/>
      <c r="R64" s="216"/>
      <c r="S64" s="216"/>
      <c r="T64" s="216"/>
      <c r="U64" s="216"/>
      <c r="V64" s="216"/>
      <c r="W64" s="216"/>
      <c r="X64" s="216"/>
      <c r="Y64" s="84"/>
      <c r="Z64" s="84"/>
      <c r="AA64" s="85"/>
      <c r="AB64" s="25"/>
      <c r="AC64" s="25"/>
      <c r="AD64" s="25"/>
      <c r="AN64" s="130">
        <v>0.64</v>
      </c>
    </row>
    <row r="65" spans="1:40" ht="16.5" customHeight="1" x14ac:dyDescent="0.25">
      <c r="A65" s="16" t="s">
        <v>9</v>
      </c>
      <c r="B65" s="17"/>
      <c r="C65" s="18" t="s">
        <v>6</v>
      </c>
      <c r="D65" s="26">
        <f>SUM(D63-D64)</f>
        <v>0</v>
      </c>
      <c r="AA65" s="86"/>
      <c r="AB65" s="25"/>
      <c r="AC65" s="25"/>
      <c r="AD65" s="25"/>
      <c r="AN65" s="130">
        <v>0.65</v>
      </c>
    </row>
    <row r="66" spans="1:40" ht="11.25" customHeight="1" x14ac:dyDescent="0.25">
      <c r="A66" s="33"/>
      <c r="B66" s="34"/>
      <c r="C66" s="34"/>
      <c r="D66" s="34"/>
      <c r="E66" s="218"/>
      <c r="F66" s="218"/>
      <c r="G66" s="218"/>
      <c r="H66" s="223"/>
      <c r="I66" s="223"/>
      <c r="J66" s="223"/>
      <c r="K66" s="45"/>
      <c r="L66" s="218"/>
      <c r="M66" s="218"/>
      <c r="N66" s="218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44"/>
      <c r="Z66" s="44"/>
      <c r="AA66" s="36"/>
      <c r="AB66" s="25"/>
      <c r="AC66" s="25"/>
      <c r="AD66" s="25"/>
      <c r="AN66" s="130">
        <v>0.66</v>
      </c>
    </row>
    <row r="67" spans="1:40" s="87" customFormat="1" ht="18" customHeight="1" x14ac:dyDescent="0.25">
      <c r="A67" s="217" t="s">
        <v>78</v>
      </c>
      <c r="B67" s="217"/>
      <c r="C67" s="217"/>
      <c r="D67" s="217"/>
      <c r="E67" s="217"/>
      <c r="F67" s="217"/>
      <c r="G67" s="217"/>
      <c r="H67" s="217"/>
      <c r="I67" s="217"/>
      <c r="J67" s="217"/>
      <c r="K67" s="217"/>
      <c r="L67" s="217"/>
      <c r="M67" s="217"/>
      <c r="N67" s="217"/>
      <c r="O67" s="217"/>
      <c r="P67" s="217"/>
      <c r="Q67" s="217"/>
      <c r="R67" s="217"/>
      <c r="S67" s="217"/>
      <c r="T67" s="217"/>
      <c r="U67" s="217"/>
      <c r="V67" s="217"/>
      <c r="W67" s="217"/>
      <c r="X67" s="217"/>
      <c r="Y67" s="43"/>
      <c r="Z67" s="43"/>
      <c r="AA67" s="43"/>
      <c r="AN67" s="130">
        <v>0.67</v>
      </c>
    </row>
    <row r="68" spans="1:40" ht="20.25" customHeight="1" x14ac:dyDescent="0.25">
      <c r="A68" s="22"/>
      <c r="AN68" s="130">
        <v>0.68</v>
      </c>
    </row>
    <row r="69" spans="1:40" x14ac:dyDescent="0.25">
      <c r="AN69" s="130">
        <v>0.69</v>
      </c>
    </row>
    <row r="70" spans="1:40" x14ac:dyDescent="0.25">
      <c r="AN70" s="130">
        <v>0.7</v>
      </c>
    </row>
    <row r="71" spans="1:40" x14ac:dyDescent="0.25">
      <c r="AN71" s="130">
        <v>0.71</v>
      </c>
    </row>
    <row r="72" spans="1:40" x14ac:dyDescent="0.25">
      <c r="AN72" s="130">
        <v>0.72</v>
      </c>
    </row>
    <row r="73" spans="1:40" x14ac:dyDescent="0.25">
      <c r="AN73" s="130">
        <v>0.73</v>
      </c>
    </row>
    <row r="74" spans="1:40" x14ac:dyDescent="0.25">
      <c r="AN74" s="130">
        <v>0.74</v>
      </c>
    </row>
    <row r="75" spans="1:40" x14ac:dyDescent="0.25">
      <c r="AN75" s="130">
        <v>0.75</v>
      </c>
    </row>
    <row r="76" spans="1:40" x14ac:dyDescent="0.25">
      <c r="AN76" s="130">
        <v>0.76</v>
      </c>
    </row>
    <row r="77" spans="1:40" x14ac:dyDescent="0.25">
      <c r="AN77" s="130">
        <v>0.77</v>
      </c>
    </row>
    <row r="78" spans="1:40" x14ac:dyDescent="0.25">
      <c r="AN78" s="130">
        <v>0.78</v>
      </c>
    </row>
    <row r="79" spans="1:40" x14ac:dyDescent="0.25">
      <c r="AN79" s="130">
        <v>0.79</v>
      </c>
    </row>
    <row r="80" spans="1:40" x14ac:dyDescent="0.25">
      <c r="AN80" s="130">
        <v>0.8</v>
      </c>
    </row>
    <row r="81" spans="40:40" x14ac:dyDescent="0.25">
      <c r="AN81" s="130">
        <v>0.81</v>
      </c>
    </row>
    <row r="82" spans="40:40" x14ac:dyDescent="0.25">
      <c r="AN82" s="130">
        <v>0.82</v>
      </c>
    </row>
    <row r="83" spans="40:40" x14ac:dyDescent="0.25">
      <c r="AN83" s="130">
        <v>0.83</v>
      </c>
    </row>
    <row r="84" spans="40:40" x14ac:dyDescent="0.25">
      <c r="AN84" s="130">
        <v>0.84</v>
      </c>
    </row>
    <row r="85" spans="40:40" x14ac:dyDescent="0.25">
      <c r="AN85" s="130">
        <v>0.85</v>
      </c>
    </row>
    <row r="86" spans="40:40" x14ac:dyDescent="0.25">
      <c r="AN86" s="130">
        <v>0.86</v>
      </c>
    </row>
    <row r="87" spans="40:40" x14ac:dyDescent="0.25">
      <c r="AN87" s="130">
        <v>0.87</v>
      </c>
    </row>
    <row r="88" spans="40:40" x14ac:dyDescent="0.25">
      <c r="AN88" s="130">
        <v>0.88</v>
      </c>
    </row>
    <row r="89" spans="40:40" x14ac:dyDescent="0.25">
      <c r="AN89" s="130">
        <v>0.89</v>
      </c>
    </row>
    <row r="90" spans="40:40" x14ac:dyDescent="0.25">
      <c r="AN90" s="130">
        <v>0.9</v>
      </c>
    </row>
    <row r="91" spans="40:40" x14ac:dyDescent="0.25">
      <c r="AN91" s="130">
        <v>0.91</v>
      </c>
    </row>
  </sheetData>
  <sheetProtection selectLockedCells="1"/>
  <protectedRanges>
    <protectedRange sqref="E20:E50 I20:AD50 F20:H43 F49:H50 F44:G48" name="Range4"/>
    <protectedRange sqref="B20:C51" name="Range3"/>
    <protectedRange sqref="AB7:AD13 W7:AA7 L10:X10 U13:W13 N13:R13 Y12:AA13 L11:AA11" name="Range2"/>
    <protectedRange sqref="C7:G12" name="Range1"/>
  </protectedRanges>
  <mergeCells count="113">
    <mergeCell ref="L49:P49"/>
    <mergeCell ref="L47:P47"/>
    <mergeCell ref="L48:P48"/>
    <mergeCell ref="L50:P50"/>
    <mergeCell ref="L51:P51"/>
    <mergeCell ref="L39:P39"/>
    <mergeCell ref="L40:P40"/>
    <mergeCell ref="L41:P41"/>
    <mergeCell ref="L42:P42"/>
    <mergeCell ref="L43:P43"/>
    <mergeCell ref="L46:P46"/>
    <mergeCell ref="Q49:AA49"/>
    <mergeCell ref="Q50:AA50"/>
    <mergeCell ref="Q51:AA51"/>
    <mergeCell ref="Q35:AA35"/>
    <mergeCell ref="Q36:AA36"/>
    <mergeCell ref="Q37:AA37"/>
    <mergeCell ref="Q38:AA38"/>
    <mergeCell ref="Q39:AA39"/>
    <mergeCell ref="Q40:AA40"/>
    <mergeCell ref="Q41:AA41"/>
    <mergeCell ref="Q42:AA42"/>
    <mergeCell ref="Q43:AA43"/>
    <mergeCell ref="I1:AA4"/>
    <mergeCell ref="A15:AA15"/>
    <mergeCell ref="Q17:AA19"/>
    <mergeCell ref="Q20:AA20"/>
    <mergeCell ref="Q21:AA21"/>
    <mergeCell ref="A1:H4"/>
    <mergeCell ref="C10:G10"/>
    <mergeCell ref="C11:G11"/>
    <mergeCell ref="L19:P19"/>
    <mergeCell ref="K17:K18"/>
    <mergeCell ref="J13:Q13"/>
    <mergeCell ref="E64:G64"/>
    <mergeCell ref="A67:X67"/>
    <mergeCell ref="L64:X64"/>
    <mergeCell ref="H64:J64"/>
    <mergeCell ref="L66:X66"/>
    <mergeCell ref="A5:X5"/>
    <mergeCell ref="L16:P16"/>
    <mergeCell ref="Q16:X16"/>
    <mergeCell ref="H66:J66"/>
    <mergeCell ref="E66:G66"/>
    <mergeCell ref="Q26:AA26"/>
    <mergeCell ref="Q27:AA27"/>
    <mergeCell ref="Q28:AA28"/>
    <mergeCell ref="Q29:AA29"/>
    <mergeCell ref="Q30:AA30"/>
    <mergeCell ref="Q31:AA31"/>
    <mergeCell ref="Q32:AA32"/>
    <mergeCell ref="Q33:AA33"/>
    <mergeCell ref="Q34:AA34"/>
    <mergeCell ref="Q44:AA44"/>
    <mergeCell ref="Q45:AA45"/>
    <mergeCell ref="Q46:AA46"/>
    <mergeCell ref="Q47:AA47"/>
    <mergeCell ref="Q48:AA48"/>
    <mergeCell ref="L26:P26"/>
    <mergeCell ref="L27:P27"/>
    <mergeCell ref="L28:P28"/>
    <mergeCell ref="L29:P29"/>
    <mergeCell ref="L45:P45"/>
    <mergeCell ref="L44:P44"/>
    <mergeCell ref="Q23:AA23"/>
    <mergeCell ref="Q24:AA24"/>
    <mergeCell ref="L23:P23"/>
    <mergeCell ref="L24:P24"/>
    <mergeCell ref="L25:P25"/>
    <mergeCell ref="L30:P30"/>
    <mergeCell ref="L31:P31"/>
    <mergeCell ref="L32:P32"/>
    <mergeCell ref="L33:P33"/>
    <mergeCell ref="L34:P34"/>
    <mergeCell ref="L35:P35"/>
    <mergeCell ref="L36:P36"/>
    <mergeCell ref="L37:P37"/>
    <mergeCell ref="L38:P38"/>
    <mergeCell ref="A51:C51"/>
    <mergeCell ref="X13:Z13"/>
    <mergeCell ref="Q22:AA22"/>
    <mergeCell ref="Q25:AA25"/>
    <mergeCell ref="C7:G7"/>
    <mergeCell ref="L21:P21"/>
    <mergeCell ref="L22:P22"/>
    <mergeCell ref="A7:B7"/>
    <mergeCell ref="C8:G8"/>
    <mergeCell ref="F17:F18"/>
    <mergeCell ref="D17:D19"/>
    <mergeCell ref="A17:A19"/>
    <mergeCell ref="E17:E19"/>
    <mergeCell ref="G17:G18"/>
    <mergeCell ref="C12:G12"/>
    <mergeCell ref="L20:P20"/>
    <mergeCell ref="A8:B8"/>
    <mergeCell ref="I17:I18"/>
    <mergeCell ref="J17:J18"/>
    <mergeCell ref="H17:H18"/>
    <mergeCell ref="B17:C18"/>
    <mergeCell ref="C9:E9"/>
    <mergeCell ref="A9:B9"/>
    <mergeCell ref="L17:P18"/>
    <mergeCell ref="P62:AA62"/>
    <mergeCell ref="P63:AA63"/>
    <mergeCell ref="P53:AA55"/>
    <mergeCell ref="I53:O55"/>
    <mergeCell ref="F53:H55"/>
    <mergeCell ref="P56:AA60"/>
    <mergeCell ref="I56:O60"/>
    <mergeCell ref="F62:H62"/>
    <mergeCell ref="F63:H63"/>
    <mergeCell ref="I62:O62"/>
    <mergeCell ref="I63:O63"/>
  </mergeCells>
  <dataValidations count="3">
    <dataValidation type="list" allowBlank="1" showInputMessage="1" showErrorMessage="1" sqref="G9" xr:uid="{00000000-0002-0000-0000-000001000000}">
      <formula1>$AM$20:$AM$39</formula1>
    </dataValidation>
    <dataValidation type="list" allowBlank="1" showInputMessage="1" showErrorMessage="1" sqref="J13:Q13" xr:uid="{6CC6934A-B254-4489-8DFA-77983FF575ED}">
      <formula1>$AJ$20:$AJ$28</formula1>
    </dataValidation>
    <dataValidation type="list" allowBlank="1" showInputMessage="1" showErrorMessage="1" sqref="X13:Z13" xr:uid="{BEE5743C-922A-4CFB-8680-9D61D2EA429B}">
      <formula1>$AN$20:$AN$91</formula1>
    </dataValidation>
  </dataValidations>
  <pageMargins left="0.7" right="0.7" top="0.75" bottom="0.75" header="0.3" footer="0.3"/>
  <pageSetup paperSize="9" scale="43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Sheet1!$A$1:$A$7</xm:f>
          </x14:formula1>
          <xm:sqref>C7:G7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4B722-0A59-411D-86D2-4ED11142EEDE}">
  <sheetPr codeName="Sheet4"/>
  <dimension ref="A2:E11"/>
  <sheetViews>
    <sheetView workbookViewId="0">
      <selection activeCell="B11" sqref="B11"/>
    </sheetView>
  </sheetViews>
  <sheetFormatPr defaultRowHeight="14.5" x14ac:dyDescent="0.35"/>
  <cols>
    <col min="1" max="1" width="4.90625" style="138" customWidth="1"/>
    <col min="2" max="2" width="52.26953125" style="135" customWidth="1"/>
    <col min="3" max="3" width="16.26953125" style="135" customWidth="1"/>
    <col min="4" max="4" width="67.08984375" style="135" customWidth="1"/>
    <col min="5" max="5" width="16.1796875" style="135" customWidth="1"/>
    <col min="6" max="16384" width="8.7265625" style="135"/>
  </cols>
  <sheetData>
    <row r="2" spans="1:5" x14ac:dyDescent="0.35">
      <c r="A2" s="133" t="s">
        <v>79</v>
      </c>
      <c r="B2" s="134" t="s">
        <v>80</v>
      </c>
      <c r="C2" s="134" t="s">
        <v>81</v>
      </c>
      <c r="D2" s="134" t="s">
        <v>82</v>
      </c>
      <c r="E2" s="134" t="s">
        <v>83</v>
      </c>
    </row>
    <row r="3" spans="1:5" x14ac:dyDescent="0.35">
      <c r="A3" s="133">
        <v>1</v>
      </c>
      <c r="B3" s="147" t="s">
        <v>25</v>
      </c>
      <c r="C3" s="148" t="s">
        <v>84</v>
      </c>
      <c r="D3" s="148" t="s">
        <v>85</v>
      </c>
      <c r="E3" s="141"/>
    </row>
    <row r="4" spans="1:5" x14ac:dyDescent="0.35">
      <c r="A4" s="133">
        <v>2</v>
      </c>
      <c r="B4" s="142" t="s">
        <v>73</v>
      </c>
      <c r="C4" s="143" t="s">
        <v>84</v>
      </c>
      <c r="D4" s="143" t="s">
        <v>87</v>
      </c>
      <c r="E4" s="139" t="s">
        <v>88</v>
      </c>
    </row>
    <row r="5" spans="1:5" x14ac:dyDescent="0.35">
      <c r="A5" s="133">
        <v>3</v>
      </c>
      <c r="B5" s="142" t="s">
        <v>74</v>
      </c>
      <c r="C5" s="143" t="s">
        <v>86</v>
      </c>
      <c r="D5" s="143" t="s">
        <v>89</v>
      </c>
      <c r="E5" s="139" t="s">
        <v>88</v>
      </c>
    </row>
    <row r="6" spans="1:5" x14ac:dyDescent="0.35">
      <c r="A6" s="133">
        <v>4</v>
      </c>
      <c r="B6" s="144" t="s">
        <v>64</v>
      </c>
      <c r="C6" s="145" t="s">
        <v>84</v>
      </c>
      <c r="D6" s="145" t="s">
        <v>85</v>
      </c>
      <c r="E6" s="139" t="s">
        <v>88</v>
      </c>
    </row>
    <row r="7" spans="1:5" x14ac:dyDescent="0.35">
      <c r="A7" s="133">
        <v>5</v>
      </c>
      <c r="B7" s="144" t="s">
        <v>65</v>
      </c>
      <c r="C7" s="145" t="s">
        <v>86</v>
      </c>
      <c r="D7" s="145" t="s">
        <v>89</v>
      </c>
      <c r="E7" s="139" t="s">
        <v>88</v>
      </c>
    </row>
    <row r="8" spans="1:5" x14ac:dyDescent="0.35">
      <c r="A8" s="133">
        <v>6</v>
      </c>
      <c r="B8" s="144" t="s">
        <v>63</v>
      </c>
      <c r="C8" s="145" t="s">
        <v>84</v>
      </c>
      <c r="D8" s="145" t="s">
        <v>85</v>
      </c>
      <c r="E8" s="136"/>
    </row>
    <row r="9" spans="1:5" x14ac:dyDescent="0.35">
      <c r="A9" s="133">
        <v>7</v>
      </c>
      <c r="B9" s="146" t="s">
        <v>75</v>
      </c>
      <c r="C9" s="137" t="s">
        <v>93</v>
      </c>
      <c r="D9" s="140" t="s">
        <v>85</v>
      </c>
      <c r="E9" s="136"/>
    </row>
    <row r="10" spans="1:5" x14ac:dyDescent="0.35">
      <c r="A10" s="133">
        <v>8</v>
      </c>
      <c r="B10" s="146" t="s">
        <v>76</v>
      </c>
      <c r="C10" s="140" t="s">
        <v>90</v>
      </c>
      <c r="D10" s="140" t="s">
        <v>94</v>
      </c>
      <c r="E10" s="139" t="s">
        <v>88</v>
      </c>
    </row>
    <row r="11" spans="1:5" x14ac:dyDescent="0.35">
      <c r="A11" s="133">
        <v>9</v>
      </c>
      <c r="B11" s="146" t="s">
        <v>77</v>
      </c>
      <c r="C11" s="140" t="s">
        <v>91</v>
      </c>
      <c r="D11" s="140" t="s">
        <v>92</v>
      </c>
      <c r="E11" s="13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8"/>
  <sheetViews>
    <sheetView workbookViewId="0"/>
  </sheetViews>
  <sheetFormatPr defaultRowHeight="12.5" x14ac:dyDescent="0.25"/>
  <sheetData>
    <row r="1" spans="1:1" ht="21.5" x14ac:dyDescent="0.25">
      <c r="A1" s="29" t="s">
        <v>12</v>
      </c>
    </row>
    <row r="2" spans="1:1" ht="21.5" x14ac:dyDescent="0.25">
      <c r="A2" s="29" t="s">
        <v>26</v>
      </c>
    </row>
    <row r="3" spans="1:1" ht="21.5" x14ac:dyDescent="0.25">
      <c r="A3" s="29" t="s">
        <v>13</v>
      </c>
    </row>
    <row r="4" spans="1:1" ht="21.5" x14ac:dyDescent="0.25">
      <c r="A4" s="29" t="s">
        <v>27</v>
      </c>
    </row>
    <row r="5" spans="1:1" ht="21.5" x14ac:dyDescent="0.25">
      <c r="A5" s="29" t="s">
        <v>14</v>
      </c>
    </row>
    <row r="6" spans="1:1" ht="21.5" x14ac:dyDescent="0.75">
      <c r="A6" s="32" t="s">
        <v>23</v>
      </c>
    </row>
    <row r="7" spans="1:1" ht="21.5" x14ac:dyDescent="0.75">
      <c r="A7" s="32" t="s">
        <v>24</v>
      </c>
    </row>
    <row r="8" spans="1:1" ht="21.5" x14ac:dyDescent="0.25">
      <c r="A8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2026.v.15</vt:lpstr>
      <vt:lpstr>Condition Table</vt:lpstr>
      <vt:lpstr>Sheet1</vt:lpstr>
      <vt:lpstr>'2026.v.15'!Print_Area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 Malaysia_HR Department</dc:creator>
  <cp:lastModifiedBy>FATIN NUR AFRINA BINTI ZUBAIRIE</cp:lastModifiedBy>
  <cp:lastPrinted>2025-09-10T05:32:49Z</cp:lastPrinted>
  <dcterms:created xsi:type="dcterms:W3CDTF">2014-04-02T07:59:45Z</dcterms:created>
  <dcterms:modified xsi:type="dcterms:W3CDTF">2026-07-03T03:16:56Z</dcterms:modified>
</cp:coreProperties>
</file>